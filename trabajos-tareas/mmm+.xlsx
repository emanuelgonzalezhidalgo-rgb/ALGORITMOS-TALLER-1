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5ef2bd9433e427/Escritorio/trabajos-tareas/"/>
    </mc:Choice>
  </mc:AlternateContent>
  <xr:revisionPtr revIDLastSave="451" documentId="8_{D79B6265-C5A1-45B3-A8C2-CF6A3EAC1BB9}" xr6:coauthVersionLast="47" xr6:coauthVersionMax="47" xr10:uidLastSave="{DA06E594-E01E-41BB-A773-38D8EDC4F4E4}"/>
  <bookViews>
    <workbookView xWindow="-108" yWindow="-108" windowWidth="23256" windowHeight="12456" activeTab="3" xr2:uid="{426B5CD4-F79F-4E4C-BF53-18B2548B7222}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_xlnm._FilterDatabase" localSheetId="2" hidden="1">Hoja3!$A$3:$D$12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2" i="1" l="1"/>
  <c r="B6" i="4"/>
  <c r="B5" i="4"/>
  <c r="D12" i="3"/>
  <c r="D11" i="3"/>
  <c r="D10" i="3"/>
  <c r="D9" i="3"/>
  <c r="D8" i="3"/>
  <c r="D7" i="3"/>
  <c r="D6" i="3"/>
  <c r="D5" i="3"/>
  <c r="D4" i="3"/>
  <c r="AD10" i="1"/>
  <c r="AD11" i="1"/>
  <c r="AD12" i="1"/>
  <c r="AD13" i="1"/>
  <c r="AD14" i="1"/>
  <c r="AD15" i="1"/>
  <c r="AD16" i="1"/>
  <c r="AD17" i="1"/>
  <c r="AD9" i="1"/>
  <c r="V19" i="1"/>
  <c r="V20" i="1"/>
  <c r="V21" i="1"/>
  <c r="V22" i="1"/>
  <c r="V23" i="1"/>
  <c r="V24" i="1"/>
  <c r="V18" i="1"/>
  <c r="U22" i="1"/>
  <c r="U18" i="1"/>
  <c r="U19" i="1"/>
  <c r="U20" i="1"/>
  <c r="U21" i="1"/>
  <c r="U23" i="1"/>
  <c r="U24" i="1"/>
  <c r="V12" i="1"/>
  <c r="V13" i="1"/>
  <c r="U10" i="1"/>
  <c r="U13" i="1" s="1"/>
  <c r="H75" i="1"/>
  <c r="H76" i="1"/>
  <c r="H77" i="1"/>
  <c r="H74" i="1"/>
  <c r="D76" i="1"/>
  <c r="D75" i="1"/>
  <c r="D72" i="1"/>
  <c r="D74" i="1"/>
  <c r="D73" i="1"/>
  <c r="D71" i="1"/>
  <c r="E63" i="1"/>
  <c r="E64" i="1"/>
  <c r="J46" i="1"/>
  <c r="J47" i="1"/>
  <c r="J48" i="1"/>
  <c r="J49" i="1"/>
  <c r="J50" i="1"/>
  <c r="J45" i="1"/>
  <c r="I46" i="1"/>
  <c r="I47" i="1"/>
  <c r="I48" i="1"/>
  <c r="I49" i="1"/>
  <c r="I50" i="1"/>
  <c r="I45" i="1"/>
  <c r="H46" i="1"/>
  <c r="H47" i="1"/>
  <c r="H48" i="1"/>
  <c r="H49" i="1"/>
  <c r="H50" i="1"/>
  <c r="H45" i="1"/>
  <c r="G46" i="1"/>
  <c r="G47" i="1"/>
  <c r="G48" i="1"/>
  <c r="G49" i="1"/>
  <c r="G50" i="1"/>
  <c r="G45" i="1"/>
  <c r="F46" i="1"/>
  <c r="F47" i="1"/>
  <c r="F48" i="1"/>
  <c r="F49" i="1"/>
  <c r="F50" i="1"/>
  <c r="F45" i="1"/>
  <c r="E46" i="1"/>
  <c r="E47" i="1"/>
  <c r="E48" i="1"/>
  <c r="E49" i="1"/>
  <c r="E50" i="1"/>
  <c r="E45" i="1"/>
  <c r="B7" i="4" l="1"/>
  <c r="W24" i="1"/>
  <c r="W23" i="1"/>
  <c r="W18" i="1"/>
  <c r="W22" i="1"/>
  <c r="W21" i="1"/>
  <c r="W20" i="1"/>
  <c r="W19" i="1"/>
  <c r="U12" i="1"/>
  <c r="U11" i="1"/>
</calcChain>
</file>

<file path=xl/sharedStrings.xml><?xml version="1.0" encoding="utf-8"?>
<sst xmlns="http://schemas.openxmlformats.org/spreadsheetml/2006/main" count="184" uniqueCount="123">
  <si>
    <t>lunes</t>
  </si>
  <si>
    <t>martes</t>
  </si>
  <si>
    <t>miércoles</t>
  </si>
  <si>
    <t>jueves</t>
  </si>
  <si>
    <t>viernes</t>
  </si>
  <si>
    <t>sábado</t>
  </si>
  <si>
    <t>domingo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</si>
  <si>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</si>
  <si>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</si>
  <si>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</si>
  <si>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</si>
  <si>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</si>
  <si>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</si>
  <si>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</si>
  <si>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</si>
  <si>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</si>
  <si>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</si>
  <si>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</si>
  <si>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</si>
  <si>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operario 1</t>
  </si>
  <si>
    <t>temperauta 1</t>
  </si>
  <si>
    <t>operario 2</t>
  </si>
  <si>
    <t>operario 3</t>
  </si>
  <si>
    <t>operario 4</t>
  </si>
  <si>
    <t>operario 5</t>
  </si>
  <si>
    <t>operario 6</t>
  </si>
  <si>
    <t>operario 7</t>
  </si>
  <si>
    <t>operario 8</t>
  </si>
  <si>
    <t>temperauta 2</t>
  </si>
  <si>
    <t>temperauta 3</t>
  </si>
  <si>
    <t>temperauta 4</t>
  </si>
  <si>
    <t>temperauta 5</t>
  </si>
  <si>
    <t>temperauta 6</t>
  </si>
  <si>
    <t>temperauta 7</t>
  </si>
  <si>
    <t>temperauta 8</t>
  </si>
  <si>
    <t>temperauta 9</t>
  </si>
  <si>
    <t>lacta 1</t>
  </si>
  <si>
    <t>lacta 2</t>
  </si>
  <si>
    <t>lacta 3</t>
  </si>
  <si>
    <t>lacta 4</t>
  </si>
  <si>
    <t>lacta 5</t>
  </si>
  <si>
    <t>lacta 6</t>
  </si>
  <si>
    <t>lacta 7</t>
  </si>
  <si>
    <t>lacta 8</t>
  </si>
  <si>
    <t>series cronolgicas</t>
  </si>
  <si>
    <t>fechas</t>
  </si>
  <si>
    <t>DD/MM/AAAA</t>
  </si>
  <si>
    <t>OPERACIONES RELACIONALES</t>
  </si>
  <si>
    <t>=</t>
  </si>
  <si>
    <t>&gt;</t>
  </si>
  <si>
    <t>&lt;</t>
  </si>
  <si>
    <t>&gt;=</t>
  </si>
  <si>
    <t>&lt;=</t>
  </si>
  <si>
    <t>&lt;&gt;</t>
  </si>
  <si>
    <t>IGUAL</t>
  </si>
  <si>
    <t xml:space="preserve">MAYOR QUE </t>
  </si>
  <si>
    <t xml:space="preserve">MENOR QUE </t>
  </si>
  <si>
    <t>MAYOR O IGUAL</t>
  </si>
  <si>
    <t>MENOR O IGUAL</t>
  </si>
  <si>
    <t>DIFERES QUE</t>
  </si>
  <si>
    <t>A</t>
  </si>
  <si>
    <t>B</t>
  </si>
  <si>
    <t>operadores logicos</t>
  </si>
  <si>
    <t xml:space="preserve">reglas del juego para otorgar un crediot bancanrio </t>
  </si>
  <si>
    <t>regla 1: la persona debe de se rmayo de 18</t>
  </si>
  <si>
    <t>regla 2: el nivel de ingresos sea superior a 10</t>
  </si>
  <si>
    <t xml:space="preserve">analisis para ortogar los creditos bancarios </t>
  </si>
  <si>
    <t>Edad</t>
  </si>
  <si>
    <t>Ingreso</t>
  </si>
  <si>
    <t>resultado</t>
  </si>
  <si>
    <t>solicitante 1</t>
  </si>
  <si>
    <t>solicitante 2</t>
  </si>
  <si>
    <t>solicitante 3</t>
  </si>
  <si>
    <t>concepto de funciones</t>
  </si>
  <si>
    <t xml:space="preserve">FUNCION SUMA </t>
  </si>
  <si>
    <t>FUNCION SUMA</t>
  </si>
  <si>
    <t>FUNCION DE CONTAR</t>
  </si>
  <si>
    <t>FUNCION PROMEDIO</t>
  </si>
  <si>
    <t>PROMEDIO ARIMETICO</t>
  </si>
  <si>
    <t>funcion minimo</t>
  </si>
  <si>
    <t>funcion maximo</t>
  </si>
  <si>
    <t>funcion si()</t>
  </si>
  <si>
    <t>reglas de juego; si el puntaje es igual o superior a 70 se considera aprobado y si es menosse considera aun no aprobado</t>
  </si>
  <si>
    <t>alumno</t>
  </si>
  <si>
    <t>resultado de la aplicación</t>
  </si>
  <si>
    <t>alumno1</t>
  </si>
  <si>
    <t>alumno2</t>
  </si>
  <si>
    <t>alumno3</t>
  </si>
  <si>
    <t>alumno4</t>
  </si>
  <si>
    <t>FUNCION HOY ()</t>
  </si>
  <si>
    <t>FUNCION DIA</t>
  </si>
  <si>
    <t>FUNCION MES()</t>
  </si>
  <si>
    <t>FUNCION AÑO</t>
  </si>
  <si>
    <t>MEDICAMENTO</t>
  </si>
  <si>
    <t>FECHA DE FABRICACION</t>
  </si>
  <si>
    <t>MED1</t>
  </si>
  <si>
    <t>MED2</t>
  </si>
  <si>
    <t>MED3</t>
  </si>
  <si>
    <t>MED4</t>
  </si>
  <si>
    <t>MED5</t>
  </si>
  <si>
    <t>MED6</t>
  </si>
  <si>
    <t>MED7</t>
  </si>
  <si>
    <t>FECHA DE VENCIMIENTO</t>
  </si>
  <si>
    <t>DIA</t>
  </si>
  <si>
    <t>jabones</t>
  </si>
  <si>
    <t>frutales</t>
  </si>
  <si>
    <t>quimicos</t>
  </si>
  <si>
    <t>base_aceites</t>
  </si>
  <si>
    <t xml:space="preserve">codigo </t>
  </si>
  <si>
    <t>categoria</t>
  </si>
  <si>
    <t>descripcion</t>
  </si>
  <si>
    <t>stock</t>
  </si>
  <si>
    <t>descripcion1</t>
  </si>
  <si>
    <t>descripcion2</t>
  </si>
  <si>
    <t>descripcion3</t>
  </si>
  <si>
    <t>descripcion4</t>
  </si>
  <si>
    <t>descripcion5</t>
  </si>
  <si>
    <t>descripcion6</t>
  </si>
  <si>
    <t>descripcion7</t>
  </si>
  <si>
    <t>descripcion8</t>
  </si>
  <si>
    <t>descripcion9</t>
  </si>
  <si>
    <t>codigo</t>
  </si>
  <si>
    <t>cosulta con buscarv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</si>
</sst>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40A]\ * #,##0.00_-;\-[$$-240A]\ * #,##0.00_-;_-[$$-240A]\ * &quot;-&quot;??_-;_-@_-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F8F9-9535-4F01-8268-A27C8F8D93DC}">
  <dimension ref="A1:AD80"/>
  <sheetViews>
    <sheetView topLeftCell="A40" zoomScale="78" workbookViewId="0">
      <selection activeCell="F59" sqref="F59"/>
    </sheetView>
  </sheetViews>
  <sheetFormatPr baseColWidth="10" defaultRowHeight="14.4" x14ac:dyDescent="0.3"/>
  <cols>
    <col min="1" max="1" width="13.33203125" customWidth="1"/>
    <col min="2" max="2" width="18.6640625" customWidth="1"/>
    <col min="3" max="3" width="14.6640625" customWidth="1"/>
    <col min="8" max="8" width="14.109375" customWidth="1"/>
    <col min="20" max="20" width="15.77734375" customWidth="1"/>
    <col min="21" max="21" width="29.109375" customWidth="1"/>
    <col min="22" max="22" width="24.10937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30" x14ac:dyDescent="0.3">
      <c r="A2" t="s">
        <v>1</v>
      </c>
    </row>
    <row r="3" spans="1:30" x14ac:dyDescent="0.3">
      <c r="A3" t="s">
        <v>2</v>
      </c>
    </row>
    <row r="4" spans="1:30" x14ac:dyDescent="0.3">
      <c r="A4" t="s">
        <v>3</v>
      </c>
    </row>
    <row r="5" spans="1:30" x14ac:dyDescent="0.3">
      <c r="A5" t="s">
        <v>4</v>
      </c>
    </row>
    <row r="6" spans="1:30" x14ac:dyDescent="0.3">
      <c r="A6" t="s">
        <v>5</v>
      </c>
    </row>
    <row r="7" spans="1:30" x14ac:dyDescent="0.3">
      <c r="A7" t="s">
        <v>6</v>
      </c>
    </row>
    <row r="8" spans="1:30" x14ac:dyDescent="0.3">
      <c r="Z8" t="s">
        <v>104</v>
      </c>
      <c r="AA8" t="s">
        <v>108</v>
      </c>
      <c r="AB8" t="s">
        <v>109</v>
      </c>
      <c r="AC8" t="s">
        <v>110</v>
      </c>
      <c r="AD8" t="s">
        <v>111</v>
      </c>
    </row>
    <row r="9" spans="1:30" x14ac:dyDescent="0.3">
      <c r="U9" s="5"/>
      <c r="Z9" t="s">
        <v>104</v>
      </c>
      <c r="AA9">
        <v>1001</v>
      </c>
      <c r="AB9" t="s">
        <v>105</v>
      </c>
      <c r="AC9" t="s">
        <v>112</v>
      </c>
      <c r="AD9">
        <f ca="1">RANDBETWEEN(1,20)</f>
        <v>11</v>
      </c>
    </row>
    <row r="10" spans="1:30" x14ac:dyDescent="0.3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T10" t="s">
        <v>89</v>
      </c>
      <c r="U10" s="1">
        <f ca="1">TODAY()</f>
        <v>46269</v>
      </c>
      <c r="V10">
        <v>39878</v>
      </c>
      <c r="Z10" t="s">
        <v>105</v>
      </c>
      <c r="AA10">
        <v>1001</v>
      </c>
      <c r="AB10" t="s">
        <v>106</v>
      </c>
      <c r="AC10" t="s">
        <v>113</v>
      </c>
      <c r="AD10">
        <f t="shared" ref="AD10:AD17" ca="1" si="0">RANDBETWEEN(1,20)</f>
        <v>12</v>
      </c>
    </row>
    <row r="11" spans="1:30" x14ac:dyDescent="0.3">
      <c r="A11" t="s">
        <v>8</v>
      </c>
      <c r="T11" t="s">
        <v>90</v>
      </c>
      <c r="U11">
        <f ca="1">DAY(U10)</f>
        <v>4</v>
      </c>
      <c r="Z11" t="s">
        <v>106</v>
      </c>
      <c r="AA11">
        <v>1001</v>
      </c>
      <c r="AB11" t="s">
        <v>107</v>
      </c>
      <c r="AC11" t="s">
        <v>114</v>
      </c>
      <c r="AD11">
        <f t="shared" ca="1" si="0"/>
        <v>11</v>
      </c>
    </row>
    <row r="12" spans="1:30" x14ac:dyDescent="0.3">
      <c r="A12" t="s">
        <v>9</v>
      </c>
      <c r="T12" t="s">
        <v>91</v>
      </c>
      <c r="U12">
        <f ca="1">MONTH(U10)</f>
        <v>9</v>
      </c>
      <c r="V12">
        <f>V10/31</f>
        <v>1286.3870967741937</v>
      </c>
      <c r="Z12" t="s">
        <v>107</v>
      </c>
      <c r="AA12">
        <v>1001</v>
      </c>
      <c r="AB12" t="s">
        <v>106</v>
      </c>
      <c r="AC12" t="s">
        <v>115</v>
      </c>
      <c r="AD12">
        <f t="shared" ca="1" si="0"/>
        <v>2</v>
      </c>
    </row>
    <row r="13" spans="1:30" x14ac:dyDescent="0.3">
      <c r="A13" t="s">
        <v>10</v>
      </c>
      <c r="T13" t="s">
        <v>92</v>
      </c>
      <c r="U13">
        <f ca="1">YEAR(U10)</f>
        <v>2026</v>
      </c>
      <c r="V13">
        <f>V10/365</f>
        <v>109.25479452054795</v>
      </c>
      <c r="AA13">
        <v>1001</v>
      </c>
      <c r="AB13" t="s">
        <v>106</v>
      </c>
      <c r="AC13" t="s">
        <v>116</v>
      </c>
      <c r="AD13">
        <f t="shared" ca="1" si="0"/>
        <v>19</v>
      </c>
    </row>
    <row r="14" spans="1:30" x14ac:dyDescent="0.3">
      <c r="A14" t="s">
        <v>11</v>
      </c>
      <c r="V14" s="6"/>
      <c r="AA14">
        <v>1001</v>
      </c>
      <c r="AB14" t="s">
        <v>107</v>
      </c>
      <c r="AC14" t="s">
        <v>117</v>
      </c>
      <c r="AD14">
        <f t="shared" ca="1" si="0"/>
        <v>14</v>
      </c>
    </row>
    <row r="15" spans="1:30" x14ac:dyDescent="0.3">
      <c r="A15" t="s">
        <v>12</v>
      </c>
      <c r="V15" s="6"/>
      <c r="AA15">
        <v>1001</v>
      </c>
      <c r="AB15" t="s">
        <v>106</v>
      </c>
      <c r="AC15" t="s">
        <v>118</v>
      </c>
      <c r="AD15">
        <f t="shared" ca="1" si="0"/>
        <v>15</v>
      </c>
    </row>
    <row r="16" spans="1:30" x14ac:dyDescent="0.3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7</v>
      </c>
      <c r="H16" t="s">
        <v>8</v>
      </c>
      <c r="I16" t="s">
        <v>9</v>
      </c>
      <c r="J16" t="s">
        <v>10</v>
      </c>
      <c r="K16" t="s">
        <v>11</v>
      </c>
      <c r="L16" t="s">
        <v>12</v>
      </c>
      <c r="V16" s="6"/>
      <c r="AA16">
        <v>1001</v>
      </c>
      <c r="AB16" t="s">
        <v>106</v>
      </c>
      <c r="AC16" t="s">
        <v>119</v>
      </c>
      <c r="AD16">
        <f t="shared" ca="1" si="0"/>
        <v>18</v>
      </c>
    </row>
    <row r="17" spans="1:30" x14ac:dyDescent="0.3">
      <c r="T17" t="s">
        <v>93</v>
      </c>
      <c r="U17" t="s">
        <v>94</v>
      </c>
      <c r="V17" s="6" t="s">
        <v>102</v>
      </c>
      <c r="W17" t="s">
        <v>103</v>
      </c>
      <c r="AA17">
        <v>1009</v>
      </c>
      <c r="AB17" t="s">
        <v>107</v>
      </c>
      <c r="AC17" t="s">
        <v>120</v>
      </c>
      <c r="AD17">
        <f t="shared" ca="1" si="0"/>
        <v>14</v>
      </c>
    </row>
    <row r="18" spans="1:30" x14ac:dyDescent="0.3">
      <c r="T18" t="s">
        <v>95</v>
      </c>
      <c r="U18" s="1">
        <f ca="1">RANDBETWEEN(45903,45963)</f>
        <v>45931</v>
      </c>
      <c r="V18" s="1">
        <f ca="1">RANDBETWEEN(46868,46988)</f>
        <v>46894</v>
      </c>
      <c r="W18">
        <f ca="1">V18-U18</f>
        <v>963</v>
      </c>
    </row>
    <row r="19" spans="1:30" x14ac:dyDescent="0.3">
      <c r="A19" t="s">
        <v>19</v>
      </c>
      <c r="C19" t="s">
        <v>20</v>
      </c>
      <c r="E19" t="s">
        <v>36</v>
      </c>
      <c r="T19" t="s">
        <v>96</v>
      </c>
      <c r="U19" s="1">
        <f t="shared" ref="U19:U24" ca="1" si="1">RANDBETWEEN(45903,45963)</f>
        <v>45920</v>
      </c>
      <c r="V19" s="1">
        <f t="shared" ref="V19:V24" ca="1" si="2">RANDBETWEEN(46868,46988)</f>
        <v>46900</v>
      </c>
      <c r="W19">
        <f t="shared" ref="W19:W24" ca="1" si="3">V19-U19</f>
        <v>980</v>
      </c>
    </row>
    <row r="20" spans="1:30" x14ac:dyDescent="0.3">
      <c r="A20" t="s">
        <v>21</v>
      </c>
      <c r="C20" t="s">
        <v>28</v>
      </c>
      <c r="E20" t="s">
        <v>37</v>
      </c>
      <c r="T20" t="s">
        <v>97</v>
      </c>
      <c r="U20" s="1">
        <f t="shared" ca="1" si="1"/>
        <v>45912</v>
      </c>
      <c r="V20" s="1">
        <f t="shared" ca="1" si="2"/>
        <v>46981</v>
      </c>
      <c r="W20">
        <f t="shared" ca="1" si="3"/>
        <v>1069</v>
      </c>
    </row>
    <row r="21" spans="1:30" x14ac:dyDescent="0.3">
      <c r="A21" t="s">
        <v>22</v>
      </c>
      <c r="C21" t="s">
        <v>29</v>
      </c>
      <c r="E21" t="s">
        <v>38</v>
      </c>
      <c r="T21" t="s">
        <v>98</v>
      </c>
      <c r="U21" s="1">
        <f t="shared" ca="1" si="1"/>
        <v>45949</v>
      </c>
      <c r="V21" s="1">
        <f t="shared" ca="1" si="2"/>
        <v>46941</v>
      </c>
      <c r="W21">
        <f t="shared" ca="1" si="3"/>
        <v>992</v>
      </c>
    </row>
    <row r="22" spans="1:30" x14ac:dyDescent="0.3">
      <c r="A22" t="s">
        <v>23</v>
      </c>
      <c r="C22" t="s">
        <v>30</v>
      </c>
      <c r="E22" t="s">
        <v>39</v>
      </c>
      <c r="T22" t="s">
        <v>99</v>
      </c>
      <c r="U22" s="1">
        <f ca="1">RANDBETWEEN(45903,45963)</f>
        <v>45907</v>
      </c>
      <c r="V22" s="1">
        <f t="shared" ca="1" si="2"/>
        <v>46937</v>
      </c>
      <c r="W22">
        <f t="shared" ca="1" si="3"/>
        <v>1030</v>
      </c>
    </row>
    <row r="23" spans="1:30" x14ac:dyDescent="0.3">
      <c r="A23" t="s">
        <v>24</v>
      </c>
      <c r="C23" t="s">
        <v>31</v>
      </c>
      <c r="E23" t="s">
        <v>40</v>
      </c>
      <c r="T23" t="s">
        <v>100</v>
      </c>
      <c r="U23" s="1">
        <f t="shared" ca="1" si="1"/>
        <v>45956</v>
      </c>
      <c r="V23" s="1">
        <f t="shared" ca="1" si="2"/>
        <v>46871</v>
      </c>
      <c r="W23">
        <f t="shared" ca="1" si="3"/>
        <v>915</v>
      </c>
    </row>
    <row r="24" spans="1:30" x14ac:dyDescent="0.3">
      <c r="A24" t="s">
        <v>25</v>
      </c>
      <c r="C24" t="s">
        <v>32</v>
      </c>
      <c r="E24" t="s">
        <v>41</v>
      </c>
      <c r="T24" t="s">
        <v>101</v>
      </c>
      <c r="U24" s="1">
        <f t="shared" ca="1" si="1"/>
        <v>45932</v>
      </c>
      <c r="V24" s="1">
        <f t="shared" ca="1" si="2"/>
        <v>46977</v>
      </c>
      <c r="W24">
        <f t="shared" ca="1" si="3"/>
        <v>1045</v>
      </c>
    </row>
    <row r="25" spans="1:30" x14ac:dyDescent="0.3">
      <c r="A25" t="s">
        <v>26</v>
      </c>
      <c r="C25" t="s">
        <v>33</v>
      </c>
      <c r="E25" t="s">
        <v>42</v>
      </c>
    </row>
    <row r="26" spans="1:30" x14ac:dyDescent="0.3">
      <c r="A26" t="s">
        <v>27</v>
      </c>
      <c r="C26" t="s">
        <v>34</v>
      </c>
      <c r="E26" t="s">
        <v>43</v>
      </c>
    </row>
    <row r="27" spans="1:30" x14ac:dyDescent="0.3">
      <c r="C27" t="s">
        <v>35</v>
      </c>
    </row>
    <row r="30" spans="1:30" x14ac:dyDescent="0.3">
      <c r="A30" t="s">
        <v>44</v>
      </c>
    </row>
    <row r="31" spans="1:30" x14ac:dyDescent="0.3">
      <c r="A31" t="s">
        <v>45</v>
      </c>
    </row>
    <row r="32" spans="1:30" x14ac:dyDescent="0.3">
      <c r="A32" t="s">
        <v>46</v>
      </c>
    </row>
    <row r="33" spans="1:17" x14ac:dyDescent="0.3">
      <c r="A33" s="1">
        <v>46026</v>
      </c>
      <c r="C33" s="1">
        <v>46054</v>
      </c>
      <c r="E33" s="1">
        <v>46052</v>
      </c>
      <c r="G33" s="1">
        <v>46052</v>
      </c>
      <c r="I33" s="1">
        <v>46387</v>
      </c>
      <c r="K33">
        <v>10</v>
      </c>
      <c r="L33">
        <v>11</v>
      </c>
      <c r="M33">
        <v>12</v>
      </c>
      <c r="N33">
        <v>13</v>
      </c>
      <c r="O33">
        <v>14</v>
      </c>
      <c r="P33">
        <v>15</v>
      </c>
      <c r="Q33">
        <v>16</v>
      </c>
    </row>
    <row r="34" spans="1:17" x14ac:dyDescent="0.3">
      <c r="A34" s="1">
        <v>46027</v>
      </c>
      <c r="C34" s="1">
        <v>46057</v>
      </c>
      <c r="E34" s="1">
        <v>46050</v>
      </c>
      <c r="G34" s="1">
        <v>46042</v>
      </c>
      <c r="I34" s="1"/>
    </row>
    <row r="35" spans="1:17" x14ac:dyDescent="0.3">
      <c r="A35" s="1">
        <v>46028</v>
      </c>
      <c r="C35" s="1">
        <v>46060</v>
      </c>
      <c r="E35" s="1">
        <v>46048</v>
      </c>
      <c r="G35" s="1">
        <v>46032</v>
      </c>
      <c r="I35" s="1"/>
    </row>
    <row r="36" spans="1:17" x14ac:dyDescent="0.3">
      <c r="A36" s="1">
        <v>46029</v>
      </c>
      <c r="C36" s="1">
        <v>46063</v>
      </c>
      <c r="E36" s="1">
        <v>46046</v>
      </c>
      <c r="G36" s="1">
        <v>46022</v>
      </c>
      <c r="I36" s="1"/>
    </row>
    <row r="37" spans="1:17" x14ac:dyDescent="0.3">
      <c r="A37" s="1">
        <v>46030</v>
      </c>
      <c r="C37" s="1">
        <v>46066</v>
      </c>
      <c r="E37" s="1">
        <v>46044</v>
      </c>
      <c r="G37" s="1">
        <v>46012</v>
      </c>
      <c r="I37" s="1"/>
    </row>
    <row r="38" spans="1:17" x14ac:dyDescent="0.3">
      <c r="A38" s="1">
        <v>46031</v>
      </c>
      <c r="C38" s="1">
        <v>46069</v>
      </c>
      <c r="E38" s="1">
        <v>46042</v>
      </c>
      <c r="G38" s="1">
        <v>46002</v>
      </c>
      <c r="I38" s="1"/>
    </row>
    <row r="39" spans="1:17" x14ac:dyDescent="0.3">
      <c r="A39" s="1">
        <v>46032</v>
      </c>
      <c r="C39" s="1">
        <v>46072</v>
      </c>
      <c r="E39" s="1">
        <v>46040</v>
      </c>
      <c r="G39" s="1">
        <v>45992</v>
      </c>
    </row>
    <row r="44" spans="1:17" x14ac:dyDescent="0.3">
      <c r="A44" t="s">
        <v>47</v>
      </c>
      <c r="C44" s="2" t="s">
        <v>60</v>
      </c>
      <c r="D44" s="3" t="s">
        <v>61</v>
      </c>
    </row>
    <row r="45" spans="1:17" x14ac:dyDescent="0.3">
      <c r="A45" t="s">
        <v>48</v>
      </c>
      <c r="B45" t="s">
        <v>54</v>
      </c>
      <c r="C45">
        <v>10</v>
      </c>
      <c r="D45">
        <v>10</v>
      </c>
      <c r="E45" t="b">
        <f>C45=D45</f>
        <v>1</v>
      </c>
      <c r="F45" t="b">
        <f>C45&gt;D45</f>
        <v>0</v>
      </c>
      <c r="G45" t="b">
        <f>C45&lt;D45</f>
        <v>0</v>
      </c>
      <c r="H45" t="b">
        <f>C45&gt;=D45</f>
        <v>1</v>
      </c>
      <c r="I45" t="b">
        <f>C45&lt;=D45</f>
        <v>1</v>
      </c>
      <c r="J45" t="b">
        <f>C45&lt;&gt;D45</f>
        <v>0</v>
      </c>
    </row>
    <row r="46" spans="1:17" x14ac:dyDescent="0.3">
      <c r="A46" t="s">
        <v>49</v>
      </c>
      <c r="B46" t="s">
        <v>55</v>
      </c>
      <c r="C46">
        <v>11</v>
      </c>
      <c r="D46">
        <v>15</v>
      </c>
      <c r="E46" t="b">
        <f t="shared" ref="E46:E50" si="4">C46=D46</f>
        <v>0</v>
      </c>
      <c r="F46" t="b">
        <f t="shared" ref="F46:F50" si="5">C46&gt;D46</f>
        <v>0</v>
      </c>
      <c r="G46" t="b">
        <f t="shared" ref="G46:G50" si="6">C46&lt;D46</f>
        <v>1</v>
      </c>
      <c r="H46" t="b">
        <f t="shared" ref="H46:H50" si="7">C46&gt;=D46</f>
        <v>0</v>
      </c>
      <c r="I46" t="b">
        <f t="shared" ref="I46:I50" si="8">C46&lt;=D46</f>
        <v>1</v>
      </c>
      <c r="J46" t="b">
        <f t="shared" ref="J46:J50" si="9">C46&lt;&gt;D46</f>
        <v>1</v>
      </c>
    </row>
    <row r="47" spans="1:17" x14ac:dyDescent="0.3">
      <c r="A47" t="s">
        <v>50</v>
      </c>
      <c r="B47" t="s">
        <v>56</v>
      </c>
      <c r="C47">
        <v>20</v>
      </c>
      <c r="D47">
        <v>12</v>
      </c>
      <c r="E47" t="b">
        <f t="shared" si="4"/>
        <v>0</v>
      </c>
      <c r="F47" t="b">
        <f t="shared" si="5"/>
        <v>1</v>
      </c>
      <c r="G47" t="b">
        <f t="shared" si="6"/>
        <v>0</v>
      </c>
      <c r="H47" t="b">
        <f t="shared" si="7"/>
        <v>1</v>
      </c>
      <c r="I47" t="b">
        <f t="shared" si="8"/>
        <v>0</v>
      </c>
      <c r="J47" t="b">
        <f t="shared" si="9"/>
        <v>1</v>
      </c>
    </row>
    <row r="48" spans="1:17" x14ac:dyDescent="0.3">
      <c r="A48" t="s">
        <v>51</v>
      </c>
      <c r="B48" t="s">
        <v>57</v>
      </c>
      <c r="C48">
        <v>25</v>
      </c>
      <c r="D48">
        <v>13</v>
      </c>
      <c r="E48" t="b">
        <f t="shared" si="4"/>
        <v>0</v>
      </c>
      <c r="F48" t="b">
        <f t="shared" si="5"/>
        <v>1</v>
      </c>
      <c r="G48" t="b">
        <f t="shared" si="6"/>
        <v>0</v>
      </c>
      <c r="H48" t="b">
        <f t="shared" si="7"/>
        <v>1</v>
      </c>
      <c r="I48" t="b">
        <f t="shared" si="8"/>
        <v>0</v>
      </c>
      <c r="J48" t="b">
        <f t="shared" si="9"/>
        <v>1</v>
      </c>
    </row>
    <row r="49" spans="1:10" x14ac:dyDescent="0.3">
      <c r="A49" t="s">
        <v>52</v>
      </c>
      <c r="B49" t="s">
        <v>58</v>
      </c>
      <c r="C49">
        <v>30</v>
      </c>
      <c r="D49">
        <v>14</v>
      </c>
      <c r="E49" t="b">
        <f t="shared" si="4"/>
        <v>0</v>
      </c>
      <c r="F49" t="b">
        <f t="shared" si="5"/>
        <v>1</v>
      </c>
      <c r="G49" t="b">
        <f t="shared" si="6"/>
        <v>0</v>
      </c>
      <c r="H49" t="b">
        <f t="shared" si="7"/>
        <v>1</v>
      </c>
      <c r="I49" t="b">
        <f t="shared" si="8"/>
        <v>0</v>
      </c>
      <c r="J49" t="b">
        <f t="shared" si="9"/>
        <v>1</v>
      </c>
    </row>
    <row r="50" spans="1:10" x14ac:dyDescent="0.3">
      <c r="A50" t="s">
        <v>53</v>
      </c>
      <c r="B50" t="s">
        <v>59</v>
      </c>
      <c r="C50">
        <v>35</v>
      </c>
      <c r="D50">
        <v>15</v>
      </c>
      <c r="E50" t="b">
        <f t="shared" si="4"/>
        <v>0</v>
      </c>
      <c r="F50" t="b">
        <f t="shared" si="5"/>
        <v>1</v>
      </c>
      <c r="G50" t="b">
        <f t="shared" si="6"/>
        <v>0</v>
      </c>
      <c r="H50" t="b">
        <f t="shared" si="7"/>
        <v>1</v>
      </c>
      <c r="I50" t="b">
        <f t="shared" si="8"/>
        <v>0</v>
      </c>
      <c r="J50" t="b">
        <f t="shared" si="9"/>
        <v>1</v>
      </c>
    </row>
    <row r="54" spans="1:10" x14ac:dyDescent="0.3">
      <c r="B54" t="s">
        <v>62</v>
      </c>
    </row>
    <row r="55" spans="1:10" x14ac:dyDescent="0.3">
      <c r="B55" t="s">
        <v>63</v>
      </c>
    </row>
    <row r="56" spans="1:10" x14ac:dyDescent="0.3">
      <c r="B56" t="s">
        <v>64</v>
      </c>
    </row>
    <row r="57" spans="1:10" x14ac:dyDescent="0.3">
      <c r="B57" t="s">
        <v>65</v>
      </c>
    </row>
    <row r="59" spans="1:10" x14ac:dyDescent="0.3">
      <c r="B59" t="s">
        <v>66</v>
      </c>
    </row>
    <row r="60" spans="1:10" x14ac:dyDescent="0.3">
      <c r="C60">
        <v>18</v>
      </c>
      <c r="D60">
        <v>10</v>
      </c>
    </row>
    <row r="61" spans="1:10" x14ac:dyDescent="0.3">
      <c r="C61" t="s">
        <v>67</v>
      </c>
      <c r="D61" t="s">
        <v>68</v>
      </c>
      <c r="E61" t="s">
        <v>69</v>
      </c>
    </row>
    <row r="62" spans="1:10" x14ac:dyDescent="0.3">
      <c r="B62" t="s">
        <v>70</v>
      </c>
      <c r="C62">
        <v>25</v>
      </c>
      <c r="D62">
        <v>9</v>
      </c>
      <c r="E62" t="b">
        <f>AND(C62&gt;C60,D62&gt;D60)</f>
        <v>0</v>
      </c>
    </row>
    <row r="63" spans="1:10" x14ac:dyDescent="0.3">
      <c r="B63" t="s">
        <v>71</v>
      </c>
      <c r="C63">
        <v>16</v>
      </c>
      <c r="D63">
        <v>26</v>
      </c>
      <c r="E63" t="b">
        <f t="shared" ref="E63:E64" si="10">AND(C63&gt;C61,D63&gt;D61)</f>
        <v>0</v>
      </c>
    </row>
    <row r="64" spans="1:10" x14ac:dyDescent="0.3">
      <c r="B64" t="s">
        <v>72</v>
      </c>
      <c r="C64">
        <v>38</v>
      </c>
      <c r="D64">
        <v>50</v>
      </c>
      <c r="E64" t="b">
        <f t="shared" si="10"/>
        <v>1</v>
      </c>
    </row>
    <row r="69" spans="2:8" x14ac:dyDescent="0.3">
      <c r="B69" t="s">
        <v>73</v>
      </c>
    </row>
    <row r="70" spans="2:8" x14ac:dyDescent="0.3">
      <c r="B70" t="s">
        <v>74</v>
      </c>
    </row>
    <row r="71" spans="2:8" x14ac:dyDescent="0.3">
      <c r="B71">
        <v>800</v>
      </c>
      <c r="C71" t="s">
        <v>75</v>
      </c>
      <c r="D71">
        <f>SUM(100,200,B71,B78:B80,SUM(B72:B77))</f>
        <v>6620</v>
      </c>
      <c r="F71" t="s">
        <v>81</v>
      </c>
    </row>
    <row r="72" spans="2:8" ht="28.8" x14ac:dyDescent="0.3">
      <c r="B72">
        <v>150</v>
      </c>
      <c r="C72" s="4" t="s">
        <v>76</v>
      </c>
      <c r="D72">
        <f>COUNT(B71:B80)</f>
        <v>10</v>
      </c>
      <c r="F72" t="s">
        <v>82</v>
      </c>
    </row>
    <row r="73" spans="2:8" ht="28.8" x14ac:dyDescent="0.3">
      <c r="B73">
        <v>100</v>
      </c>
      <c r="C73" s="5" t="s">
        <v>78</v>
      </c>
      <c r="D73">
        <f>SUM(B71:B80)/ COUNT(B71:B80)</f>
        <v>632</v>
      </c>
      <c r="F73" t="s">
        <v>83</v>
      </c>
      <c r="G73" t="s">
        <v>69</v>
      </c>
      <c r="H73" s="5" t="s">
        <v>84</v>
      </c>
    </row>
    <row r="74" spans="2:8" ht="28.8" x14ac:dyDescent="0.3">
      <c r="B74">
        <v>400</v>
      </c>
      <c r="C74" s="5" t="s">
        <v>77</v>
      </c>
      <c r="D74">
        <f>ROUND(AVERAGE(100,B71,B73:B75,B77:B80,SUM(B71:B80),COUNT(B71:B80)),2)</f>
        <v>1009.09</v>
      </c>
      <c r="F74" t="s">
        <v>85</v>
      </c>
      <c r="G74">
        <v>85</v>
      </c>
      <c r="H74" t="str">
        <f>IF(G74&gt;=70,"aprobado","aun no aprobado")</f>
        <v>aprobado</v>
      </c>
    </row>
    <row r="75" spans="2:8" x14ac:dyDescent="0.3">
      <c r="B75">
        <v>500</v>
      </c>
      <c r="C75" t="s">
        <v>79</v>
      </c>
      <c r="D75">
        <f>MIN(B71:B80)</f>
        <v>100</v>
      </c>
      <c r="F75" t="s">
        <v>86</v>
      </c>
      <c r="G75">
        <v>20</v>
      </c>
      <c r="H75" t="str">
        <f t="shared" ref="H75:H77" si="11">IF(G75&gt;=70,"aprobado","aun no aprobado")</f>
        <v>aun no aprobado</v>
      </c>
    </row>
    <row r="76" spans="2:8" x14ac:dyDescent="0.3">
      <c r="B76">
        <v>1500</v>
      </c>
      <c r="C76" t="s">
        <v>80</v>
      </c>
      <c r="D76">
        <f>MAX(B71:B80)</f>
        <v>1500</v>
      </c>
      <c r="F76" t="s">
        <v>87</v>
      </c>
      <c r="G76">
        <v>45</v>
      </c>
      <c r="H76" t="str">
        <f t="shared" si="11"/>
        <v>aun no aprobado</v>
      </c>
    </row>
    <row r="77" spans="2:8" x14ac:dyDescent="0.3">
      <c r="B77">
        <v>1200</v>
      </c>
      <c r="F77" t="s">
        <v>88</v>
      </c>
      <c r="G77">
        <v>70</v>
      </c>
      <c r="H77" t="str">
        <f t="shared" si="11"/>
        <v>aprobado</v>
      </c>
    </row>
    <row r="78" spans="2:8" x14ac:dyDescent="0.3">
      <c r="B78">
        <v>700</v>
      </c>
    </row>
    <row r="79" spans="2:8" x14ac:dyDescent="0.3">
      <c r="B79">
        <v>850</v>
      </c>
    </row>
    <row r="80" spans="2:8" x14ac:dyDescent="0.3">
      <c r="B80">
        <v>120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A04D47-F227-4C51-B55E-6A9D8204794C}">
          <x14:formula1>
            <xm:f>Hoja2!$A$2:$A$4</xm:f>
          </x14:formula1>
          <xm:sqref>AB9:AB17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5869-9BBD-4315-A802-D152A66DCDD6}">
  <dimension ref="A1:A4"/>
  <sheetViews>
    <sheetView workbookViewId="0">
      <selection sqref="A1:A4"/>
    </sheetView>
  </sheetViews>
  <sheetFormatPr baseColWidth="10" defaultRowHeight="14.4" x14ac:dyDescent="0.3"/>
  <sheetData>
    <row r="1" spans="1:1" x14ac:dyDescent="0.3">
      <c r="A1" t="s">
        <v>104</v>
      </c>
    </row>
    <row r="2" spans="1:1" x14ac:dyDescent="0.3">
      <c r="A2" t="s">
        <v>105</v>
      </c>
    </row>
    <row r="3" spans="1:1" x14ac:dyDescent="0.3">
      <c r="A3" t="s">
        <v>106</v>
      </c>
    </row>
    <row r="4" spans="1:1" x14ac:dyDescent="0.3">
      <c r="A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4239-5DD6-4818-98E6-1C0A4A2AB494}">
  <dimension ref="A3:D12"/>
  <sheetViews>
    <sheetView workbookViewId="0">
      <selection activeCell="D26" sqref="D26"/>
    </sheetView>
  </sheetViews>
  <sheetFormatPr baseColWidth="10" defaultRowHeight="14.4" x14ac:dyDescent="0.3"/>
  <cols>
    <col min="3" max="3" width="12.6640625" bestFit="1" customWidth="1"/>
  </cols>
  <sheetData>
    <row r="3" spans="1:4" x14ac:dyDescent="0.3">
      <c r="A3" t="s">
        <v>108</v>
      </c>
      <c r="B3" t="s">
        <v>109</v>
      </c>
      <c r="C3" t="s">
        <v>110</v>
      </c>
      <c r="D3" t="s">
        <v>111</v>
      </c>
    </row>
    <row r="4" spans="1:4" x14ac:dyDescent="0.3">
      <c r="A4">
        <v>1001</v>
      </c>
      <c r="B4" t="s">
        <v>105</v>
      </c>
      <c r="C4" t="s">
        <v>112</v>
      </c>
      <c r="D4">
        <f t="shared" ref="D4:D12" ca="1" si="0">RANDBETWEEN(1,20)</f>
        <v>16</v>
      </c>
    </row>
    <row r="5" spans="1:4" x14ac:dyDescent="0.3">
      <c r="A5">
        <v>1002</v>
      </c>
      <c r="B5" t="s">
        <v>106</v>
      </c>
      <c r="C5" t="s">
        <v>113</v>
      </c>
      <c r="D5">
        <f t="shared" ca="1" si="0"/>
        <v>8</v>
      </c>
    </row>
    <row r="6" spans="1:4" x14ac:dyDescent="0.3">
      <c r="A6">
        <v>1003</v>
      </c>
      <c r="B6" t="s">
        <v>107</v>
      </c>
      <c r="C6" t="s">
        <v>114</v>
      </c>
      <c r="D6">
        <f t="shared" ca="1" si="0"/>
        <v>6</v>
      </c>
    </row>
    <row r="7" spans="1:4" x14ac:dyDescent="0.3">
      <c r="A7">
        <v>1004</v>
      </c>
      <c r="B7" t="s">
        <v>106</v>
      </c>
      <c r="C7" t="s">
        <v>115</v>
      </c>
      <c r="D7">
        <f t="shared" ca="1" si="0"/>
        <v>12</v>
      </c>
    </row>
    <row r="8" spans="1:4" x14ac:dyDescent="0.3">
      <c r="A8">
        <v>1005</v>
      </c>
      <c r="B8" t="s">
        <v>106</v>
      </c>
      <c r="C8" t="s">
        <v>116</v>
      </c>
      <c r="D8">
        <f t="shared" ca="1" si="0"/>
        <v>9</v>
      </c>
    </row>
    <row r="9" spans="1:4" x14ac:dyDescent="0.3">
      <c r="A9">
        <v>1006</v>
      </c>
      <c r="B9" t="s">
        <v>107</v>
      </c>
      <c r="C9" t="s">
        <v>117</v>
      </c>
      <c r="D9">
        <f t="shared" ca="1" si="0"/>
        <v>13</v>
      </c>
    </row>
    <row r="10" spans="1:4" x14ac:dyDescent="0.3">
      <c r="A10">
        <v>1007</v>
      </c>
      <c r="B10" t="s">
        <v>106</v>
      </c>
      <c r="C10" t="s">
        <v>118</v>
      </c>
      <c r="D10">
        <f t="shared" ca="1" si="0"/>
        <v>8</v>
      </c>
    </row>
    <row r="11" spans="1:4" x14ac:dyDescent="0.3">
      <c r="A11">
        <v>1008</v>
      </c>
      <c r="B11" t="s">
        <v>106</v>
      </c>
      <c r="C11" t="s">
        <v>119</v>
      </c>
      <c r="D11">
        <f t="shared" ca="1" si="0"/>
        <v>19</v>
      </c>
    </row>
    <row r="12" spans="1:4" x14ac:dyDescent="0.3">
      <c r="A12">
        <v>1009</v>
      </c>
      <c r="B12" t="s">
        <v>107</v>
      </c>
      <c r="C12" t="s">
        <v>120</v>
      </c>
      <c r="D12">
        <f t="shared" ca="1" si="0"/>
        <v>14</v>
      </c>
    </row>
  </sheetData>
  <sortState xmlns:xlrd2="http://schemas.microsoft.com/office/spreadsheetml/2017/richdata2" ref="A4:D12">
    <sortCondition ref="D4:D12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A91FEC-4CF3-47EE-A48B-1B6F97170E5F}">
          <x14:formula1>
            <xm:f>Hoja2!$A$2:$A$4</xm:f>
          </x14:formula1>
          <xm:sqref>N5:N13 B4:B12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1C90-1CB6-46D7-A5D7-F4BFE5D09099}">
  <dimension ref="A2:B7"/>
  <sheetViews>
    <sheetView tabSelected="1" workbookViewId="0">
      <selection activeCell="B4" sqref="B4"/>
    </sheetView>
  </sheetViews>
  <sheetFormatPr baseColWidth="10" defaultRowHeight="14.4" x14ac:dyDescent="0.3"/>
  <sheetData>
    <row r="2" spans="1:2" x14ac:dyDescent="0.3">
      <c r="A2" t="s">
        <v>122</v>
      </c>
    </row>
    <row r="4" spans="1:2" x14ac:dyDescent="0.3">
      <c r="A4" t="s">
        <v>121</v>
      </c>
      <c r="B4">
        <v>1001</v>
      </c>
    </row>
    <row r="5" spans="1:2" x14ac:dyDescent="0.3">
      <c r="A5" t="s">
        <v>109</v>
      </c>
      <c r="B5" t="str">
        <f>VLOOKUP(B4,Hoja3!A3:D12,2,)</f>
        <v>frutales</v>
      </c>
    </row>
    <row r="6" spans="1:2" x14ac:dyDescent="0.3">
      <c r="A6" t="s">
        <v>110</v>
      </c>
      <c r="B6" t="str">
        <f>VLOOKUP(B4,Hoja3!A4:D13,3,FALSE)</f>
        <v>descripcion1</v>
      </c>
    </row>
    <row r="7" spans="1:2" x14ac:dyDescent="0.3">
      <c r="A7" t="s">
        <v>111</v>
      </c>
      <c r="B7">
        <f ca="1">VLOOKUP(B4,Hoja3!A3:D12,4,FALSE)</f>
        <v>16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D9369B-0BEA-4E36-8E32-FC68BD7ED0F7}">
          <x14:formula1>
            <xm:f>Hoja3!$A$4:$A$12</xm:f>
          </x14:formula1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González</dc:creator>
  <cp:lastModifiedBy>Emanuel González</cp:lastModifiedBy>
  <dcterms:created xsi:type="dcterms:W3CDTF">2026-08-27T12:54:21Z</dcterms:created>
  <dcterms:modified xsi:type="dcterms:W3CDTF">2026-09-04T23:42:52Z</dcterms:modified>
</cp:coreProperties>
</file>