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5ef2bd9433e427/Escritorio/"/>
    </mc:Choice>
  </mc:AlternateContent>
  <xr:revisionPtr revIDLastSave="156" documentId="13_ncr:1_{2397B358-4B6B-4DC3-B91A-521A58AC1E8A}" xr6:coauthVersionLast="47" xr6:coauthVersionMax="47" xr10:uidLastSave="{BDDC6C2F-CEA5-4AAC-9D56-BF178CF82DFC}"/>
  <bookViews>
    <workbookView xWindow="-108" yWindow="-108" windowWidth="23256" windowHeight="12456" activeTab="1" xr2:uid="{18630F06-0B98-49DA-B9AA-4749A2B21C23}"/>
  </bookViews>
  <sheets>
    <sheet name="Pacientes_clinica_aprendiz (2)" sheetId="3" r:id="rId1"/>
    <sheet name="Hoja1" sheetId="1" r:id="rId2"/>
  </sheets>
  <definedNames>
    <definedName name="SegmentaciónDeDatos_Área_Atención">#N/A</definedName>
    <definedName name="SegmentaciónDeDatos_Costo_Tratamiento">#N/A</definedName>
    <definedName name="SegmentaciónDeDatos_Diagnóstico_Principal">#N/A</definedName>
    <definedName name="SegmentaciónDeDatos_Estado_Alta">#N/A</definedName>
    <definedName name="SegmentaciónDeDatos_Forma_Pago">#N/A</definedName>
    <definedName name="SegmentaciónDeDatos_Médico_Responsable">#N/A</definedName>
    <definedName name="SegmentaciónDeDatos_Seguro_Médico">#N/A</definedName>
    <definedName name="SegmentaciónDeDatos_Tipo_Tratamiento">#N/A</definedName>
  </definedNames>
  <calcPr calcId="191029"/>
  <pivotCaches>
    <pivotCache cacheId="9" r:id="rId3"/>
    <pivotCache cacheId="7" r:id="rId4"/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3ECB8-E1A1-4A27-AEEA-68849E05C2EB}" keepAlive="1" name="Consulta - Pacientes_clinica_aprendiz" description="Conexión a la consulta 'Pacientes_clinica_aprendiz' en el libro." type="5" refreshedVersion="0" background="1">
    <dbPr connection="Provider=Microsoft.Mashup.OleDb.1;Data Source=$Workbook$;Location=Pacientes_clinica_aprendiz;Extended Properties=&quot;&quot;" command="SELECT * FROM [Pacientes_clinica_aprendiz]"/>
  </connection>
  <connection id="2" xr16:uid="{302C0AD6-BBCE-43FD-BBBB-0EA124DFB76E}" keepAlive="1" name="Consulta - Pacientes_clinica_aprendiz (2)" description="Conexión a la consulta 'Pacientes_clinica_aprendiz (2)' en el libro." type="5" refreshedVersion="0" background="1">
    <dbPr connection="Provider=Microsoft.Mashup.OleDb.1;Data Source=$Workbook$;Location=&quot;Pacientes_clinica_aprendiz (2)&quot;;Extended Properties=&quot;&quot;" command="SELECT * FROM [Pacientes_clinica_aprendiz (2)]"/>
  </connection>
</connections>
</file>

<file path=xl/sharedStrings.xml><?xml version="1.0" encoding="utf-8"?>
<sst xmlns="http://schemas.openxmlformats.org/spreadsheetml/2006/main" count="1842" uniqueCount="246">
  <si>
    <t>ID_Paciente</t>
  </si>
  <si>
    <t>Sexo</t>
  </si>
  <si>
    <t>Fecha_Nacimiento</t>
  </si>
  <si>
    <t>Edad</t>
  </si>
  <si>
    <t>Fecha_Ingreso</t>
  </si>
  <si>
    <t>Fecha_Salida</t>
  </si>
  <si>
    <t>Tipo_Tratamiento</t>
  </si>
  <si>
    <t>Costo_Tratamiento</t>
  </si>
  <si>
    <t>Forma_Pago</t>
  </si>
  <si>
    <t>Estado_Alta</t>
  </si>
  <si>
    <t>PAC-0001</t>
  </si>
  <si>
    <t>Femenino</t>
  </si>
  <si>
    <t>Chequeo general</t>
  </si>
  <si>
    <t>Urgencias</t>
  </si>
  <si>
    <t>Seguro</t>
  </si>
  <si>
    <t>PAC-0002</t>
  </si>
  <si>
    <t>Consulta externa</t>
  </si>
  <si>
    <t>Efectivo</t>
  </si>
  <si>
    <t>No</t>
  </si>
  <si>
    <t>PAC-0003</t>
  </si>
  <si>
    <t>Tarjeta</t>
  </si>
  <si>
    <t>Referencia externa</t>
  </si>
  <si>
    <t>PAC-0004</t>
  </si>
  <si>
    <t>PAC-0005</t>
  </si>
  <si>
    <t>Masculino</t>
  </si>
  <si>
    <t>PAC-0006</t>
  </si>
  <si>
    <t>PAC-0007</t>
  </si>
  <si>
    <t>Control preventivo</t>
  </si>
  <si>
    <t>PAC-0008</t>
  </si>
  <si>
    <t>PAC-0009</t>
  </si>
  <si>
    <t>Diabetes</t>
  </si>
  <si>
    <t>PAC-0010</t>
  </si>
  <si>
    <t>PAC-0011</t>
  </si>
  <si>
    <t>PAC-0012</t>
  </si>
  <si>
    <t>Fisioterapia</t>
  </si>
  <si>
    <t>PAC-0013</t>
  </si>
  <si>
    <t>PAC-0014</t>
  </si>
  <si>
    <t>PAC-0015</t>
  </si>
  <si>
    <t>PAC-0016</t>
  </si>
  <si>
    <t>PAC-0017</t>
  </si>
  <si>
    <t>PAC-0018</t>
  </si>
  <si>
    <t>PAC-0019</t>
  </si>
  <si>
    <t>PAC-0020</t>
  </si>
  <si>
    <t>PAC-0021</t>
  </si>
  <si>
    <t>PAC-0022</t>
  </si>
  <si>
    <t>PAC-0023</t>
  </si>
  <si>
    <t>PAC-0024</t>
  </si>
  <si>
    <t>PAC-0025</t>
  </si>
  <si>
    <t>PAC-0026</t>
  </si>
  <si>
    <t>PAC-0027</t>
  </si>
  <si>
    <t>PAC-0028</t>
  </si>
  <si>
    <t>PAC-0029</t>
  </si>
  <si>
    <t>PAC-0030</t>
  </si>
  <si>
    <t>PAC-0031</t>
  </si>
  <si>
    <t>PAC-0032</t>
  </si>
  <si>
    <t>PAC-0033</t>
  </si>
  <si>
    <t>PAC-0034</t>
  </si>
  <si>
    <t>PAC-0035</t>
  </si>
  <si>
    <t>PAC-0036</t>
  </si>
  <si>
    <t>PAC-0037</t>
  </si>
  <si>
    <t>PAC-0038</t>
  </si>
  <si>
    <t>PAC-0039</t>
  </si>
  <si>
    <t>PAC-0040</t>
  </si>
  <si>
    <t>PAC-0041</t>
  </si>
  <si>
    <t>PAC-0042</t>
  </si>
  <si>
    <t>PAC-0043</t>
  </si>
  <si>
    <t>PAC-0044</t>
  </si>
  <si>
    <t>PAC-0045</t>
  </si>
  <si>
    <t>PAC-0046</t>
  </si>
  <si>
    <t>PAC-0047</t>
  </si>
  <si>
    <t>PAC-0048</t>
  </si>
  <si>
    <t>PAC-0049</t>
  </si>
  <si>
    <t>PAC-0050</t>
  </si>
  <si>
    <t>PAC-0051</t>
  </si>
  <si>
    <t>PAC-0052</t>
  </si>
  <si>
    <t>PAC-0053</t>
  </si>
  <si>
    <t>PAC-0054</t>
  </si>
  <si>
    <t>PAC-0055</t>
  </si>
  <si>
    <t>PAC-0056</t>
  </si>
  <si>
    <t>PAC-0057</t>
  </si>
  <si>
    <t>PAC-0058</t>
  </si>
  <si>
    <t>PAC-0059</t>
  </si>
  <si>
    <t>PAC-0060</t>
  </si>
  <si>
    <t>PAC-0061</t>
  </si>
  <si>
    <t>PAC-0062</t>
  </si>
  <si>
    <t>PAC-0063</t>
  </si>
  <si>
    <t>PAC-0064</t>
  </si>
  <si>
    <t>PAC-0065</t>
  </si>
  <si>
    <t>PAC-0066</t>
  </si>
  <si>
    <t>PAC-0067</t>
  </si>
  <si>
    <t>PAC-0068</t>
  </si>
  <si>
    <t>PAC-0069</t>
  </si>
  <si>
    <t>PAC-0070</t>
  </si>
  <si>
    <t>PAC-0071</t>
  </si>
  <si>
    <t>PAC-0072</t>
  </si>
  <si>
    <t>PAC-0073</t>
  </si>
  <si>
    <t>PAC-0074</t>
  </si>
  <si>
    <t>PAC-0075</t>
  </si>
  <si>
    <t>PAC-0076</t>
  </si>
  <si>
    <t>PAC-0077</t>
  </si>
  <si>
    <t>PAC-0078</t>
  </si>
  <si>
    <t>PAC-0079</t>
  </si>
  <si>
    <t>PAC-0080</t>
  </si>
  <si>
    <t>PAC-0081</t>
  </si>
  <si>
    <t>PAC-0082</t>
  </si>
  <si>
    <t>PAC-0083</t>
  </si>
  <si>
    <t>PAC-0084</t>
  </si>
  <si>
    <t>PAC-0085</t>
  </si>
  <si>
    <t>PAC-0086</t>
  </si>
  <si>
    <t>PAC-0087</t>
  </si>
  <si>
    <t>PAC-0088</t>
  </si>
  <si>
    <t>PAC-0089</t>
  </si>
  <si>
    <t>PAC-0090</t>
  </si>
  <si>
    <t>PAC-0091</t>
  </si>
  <si>
    <t>PAC-0092</t>
  </si>
  <si>
    <t>PAC-0093</t>
  </si>
  <si>
    <t>PAC-0094</t>
  </si>
  <si>
    <t>PAC-0095</t>
  </si>
  <si>
    <t>PAC-0096</t>
  </si>
  <si>
    <t>PAC-0097</t>
  </si>
  <si>
    <t>PAC-0098</t>
  </si>
  <si>
    <t>PAC-0099</t>
  </si>
  <si>
    <t>PAC-0100</t>
  </si>
  <si>
    <t>PAC-0101</t>
  </si>
  <si>
    <t>PAC-0102</t>
  </si>
  <si>
    <t>PAC-0103</t>
  </si>
  <si>
    <t>PAC-0104</t>
  </si>
  <si>
    <t>PAC-0105</t>
  </si>
  <si>
    <t>PAC-0106</t>
  </si>
  <si>
    <t>PAC-0107</t>
  </si>
  <si>
    <t>PAC-0108</t>
  </si>
  <si>
    <t>PAC-0109</t>
  </si>
  <si>
    <t>PAC-0110</t>
  </si>
  <si>
    <t>PAC-0111</t>
  </si>
  <si>
    <t>PAC-0112</t>
  </si>
  <si>
    <t>PAC-0113</t>
  </si>
  <si>
    <t>PAC-0114</t>
  </si>
  <si>
    <t>PAC-0115</t>
  </si>
  <si>
    <t>PAC-0116</t>
  </si>
  <si>
    <t>PAC-0117</t>
  </si>
  <si>
    <t>PAC-0118</t>
  </si>
  <si>
    <t>PAC-0119</t>
  </si>
  <si>
    <t>PAC-0120</t>
  </si>
  <si>
    <t>PAC-0121</t>
  </si>
  <si>
    <t>PAC-0122</t>
  </si>
  <si>
    <t>PAC-0123</t>
  </si>
  <si>
    <t>PAC-0124</t>
  </si>
  <si>
    <t>PAC-0125</t>
  </si>
  <si>
    <t>PAC-0126</t>
  </si>
  <si>
    <t>PAC-0127</t>
  </si>
  <si>
    <t>PAC-0128</t>
  </si>
  <si>
    <t>PAC-0129</t>
  </si>
  <si>
    <t>PAC-0130</t>
  </si>
  <si>
    <t>PAC-0131</t>
  </si>
  <si>
    <t>PAC-0132</t>
  </si>
  <si>
    <t>PAC-0133</t>
  </si>
  <si>
    <t>PAC-0134</t>
  </si>
  <si>
    <t>PAC-0135</t>
  </si>
  <si>
    <t>PAC-0136</t>
  </si>
  <si>
    <t>PAC-0137</t>
  </si>
  <si>
    <t>PAC-0138</t>
  </si>
  <si>
    <t>PAC-0139</t>
  </si>
  <si>
    <t>PAC-0140</t>
  </si>
  <si>
    <t>PAC-0141</t>
  </si>
  <si>
    <t>PAC-0142</t>
  </si>
  <si>
    <t>PAC-0143</t>
  </si>
  <si>
    <t>PAC-0144</t>
  </si>
  <si>
    <t>PAC-0145</t>
  </si>
  <si>
    <t>PAC-0146</t>
  </si>
  <si>
    <t>PAC-0147</t>
  </si>
  <si>
    <t>PAC-0148</t>
  </si>
  <si>
    <t>PAC-0149</t>
  </si>
  <si>
    <t>PAC-0150</t>
  </si>
  <si>
    <t>PAC-0151</t>
  </si>
  <si>
    <t>PAC-0152</t>
  </si>
  <si>
    <t>PAC-0153</t>
  </si>
  <si>
    <t>PAC-0154</t>
  </si>
  <si>
    <t>PAC-0155</t>
  </si>
  <si>
    <t>PAC-0156</t>
  </si>
  <si>
    <t>PAC-0157</t>
  </si>
  <si>
    <t>PAC-0158</t>
  </si>
  <si>
    <t>PAC-0159</t>
  </si>
  <si>
    <t>PAC-0160</t>
  </si>
  <si>
    <t>PAC-0161</t>
  </si>
  <si>
    <t>PAC-0162</t>
  </si>
  <si>
    <t>PAC-0163</t>
  </si>
  <si>
    <t>PAC-0164</t>
  </si>
  <si>
    <t>PAC-0165</t>
  </si>
  <si>
    <t>PAC-0166</t>
  </si>
  <si>
    <t>PAC-0167</t>
  </si>
  <si>
    <t>PAC-0168</t>
  </si>
  <si>
    <t>PAC-0169</t>
  </si>
  <si>
    <t>PAC-0170</t>
  </si>
  <si>
    <t>PAC-0171</t>
  </si>
  <si>
    <t>PAC-0172</t>
  </si>
  <si>
    <t>PAC-0173</t>
  </si>
  <si>
    <t>PAC-0174</t>
  </si>
  <si>
    <t>PAC-0175</t>
  </si>
  <si>
    <t>PAC-0176</t>
  </si>
  <si>
    <t>PAC-0177</t>
  </si>
  <si>
    <t>PAC-0178</t>
  </si>
  <si>
    <t>PAC-0179</t>
  </si>
  <si>
    <t>PAC-0180</t>
  </si>
  <si>
    <t>PAC-0181</t>
  </si>
  <si>
    <t>PAC-0182</t>
  </si>
  <si>
    <t>PAC-0183</t>
  </si>
  <si>
    <t>PAC-0184</t>
  </si>
  <si>
    <t>PAC-0185</t>
  </si>
  <si>
    <t>PAC-0186</t>
  </si>
  <si>
    <t>PAC-0187</t>
  </si>
  <si>
    <t>PAC-0188</t>
  </si>
  <si>
    <t>PAC-0189</t>
  </si>
  <si>
    <t>PAC-0190</t>
  </si>
  <si>
    <t>PAC-0191</t>
  </si>
  <si>
    <t>PAC-0192</t>
  </si>
  <si>
    <t>PAC-0193</t>
  </si>
  <si>
    <t>PAC-0194</t>
  </si>
  <si>
    <t>PAC-0195</t>
  </si>
  <si>
    <t>PAC-0196</t>
  </si>
  <si>
    <t>PAC-0197</t>
  </si>
  <si>
    <t>PAC-0198</t>
  </si>
  <si>
    <t>PAC-0199</t>
  </si>
  <si>
    <t>PAC-0200</t>
  </si>
  <si>
    <t>Estancia_Días</t>
  </si>
  <si>
    <t>Diagnóstico_Principal</t>
  </si>
  <si>
    <t>Área_Atención</t>
  </si>
  <si>
    <t>Médico_Responsable</t>
  </si>
  <si>
    <t>Seguro_Médico</t>
  </si>
  <si>
    <t>Cirugía menor</t>
  </si>
  <si>
    <t>Dr. Gómez</t>
  </si>
  <si>
    <t>Sí</t>
  </si>
  <si>
    <t>Alta médica</t>
  </si>
  <si>
    <t>Lesión musculoesquelética</t>
  </si>
  <si>
    <t>Observación clínica</t>
  </si>
  <si>
    <t>Infección respiratoria</t>
  </si>
  <si>
    <t>Hipertensión</t>
  </si>
  <si>
    <t>Hospitalización</t>
  </si>
  <si>
    <t>Dra. Martínez</t>
  </si>
  <si>
    <t>Farmacológico</t>
  </si>
  <si>
    <t>Dr. López</t>
  </si>
  <si>
    <t>Dra. Hernández</t>
  </si>
  <si>
    <t>Suma de Costo_Tratamiento</t>
  </si>
  <si>
    <t>Etiquetas de fila</t>
  </si>
  <si>
    <t>Total general</t>
  </si>
  <si>
    <t>Cuenta de Forma_Pago</t>
  </si>
  <si>
    <t>Cuenta de Área_Atención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</si>
</sst>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64" fontId="1" fillId="2" borderId="2" xfId="0" applyNumberFormat="1" applyFont="1" applyFill="1" applyBorder="1"/>
    <xf numFmtId="164" fontId="0" fillId="3" borderId="2" xfId="0" applyNumberFormat="1" applyFill="1" applyBorder="1"/>
    <xf numFmtId="164" fontId="0" fillId="0" borderId="2" xfId="0" applyNumberFormat="1" applyBorder="1"/>
    <xf numFmtId="164" fontId="0" fillId="0" borderId="0" xfId="0" applyNumberFormat="1"/>
    <xf numFmtId="1" fontId="0" fillId="3" borderId="2" xfId="0" applyNumberForma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07/relationships/slicerCache" Target="slicerCaches/slicerCache8.xml"/><Relationship Id="rId1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2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microsoft.com/office/2007/relationships/slicerCache" Target="slicerCaches/slicerCache5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4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[pacientes_aprendiz.xlsx]Hoja1!TablaDinámica2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Hoja1!$B$4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1CC-4AA8-8985-DC5375198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249344"/>
        <c:axId val="1864249760"/>
      </c:barChart>
      <c:catAx>
        <c:axId val="18642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4249760"/>
        <c:crosses val="autoZero"/>
        <c:auto val="1"/>
        <c:lblAlgn val="ctr"/>
        <c:lblOffset val="100"/>
        <c:noMultiLvlLbl val="0"/>
      </c:catAx>
      <c:valAx>
        <c:axId val="18642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42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[pacientes_aprendiz.xlsx]Hoja1!TablaDinámica5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Hoja1!$B$32:$B$33</c:f>
              <c:strCache>
                <c:ptCount val="1"/>
                <c:pt idx="0">
                  <c:v>No</c:v>
                </c:pt>
              </c:strCache>
            </c:strRef>
          </c:cat>
          <c:val>
            <c:numRef>
              <c:f>Hoja1!$C$32:$C$33</c:f>
              <c:numCache>
                <c:formatCode>General</c:formatCode>
                <c:ptCount val="1"/>
                <c:pt idx="0">
                  <c:v>1700672.0299999996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8-40B8-A37A-669FF65E3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424560"/>
        <c:axId val="1870432048"/>
      </c:barChart>
      <c:catAx>
        <c:axId val="18704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0432048"/>
        <c:crosses val="autoZero"/>
        <c:auto val="1"/>
        <c:lblAlgn val="ctr"/>
        <c:lblOffset val="100"/>
        <c:noMultiLvlLbl val="0"/>
      </c:catAx>
      <c:valAx>
        <c:axId val="18704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04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[pacientes_aprendiz.xlsx]Hoja1!TablaDinámica1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Hoja1!$L$4:$L$9</c:f>
              <c:strCache>
                <c:ptCount val="5"/>
                <c:pt idx="0">
                  <c:v>Cirugía menor</c:v>
                </c:pt>
                <c:pt idx="1">
                  <c:v>Control preventivo</c:v>
                </c:pt>
                <c:pt idx="2">
                  <c:v>Farmacológico</c:v>
                </c:pt>
                <c:pt idx="3">
                  <c:v>Fisioterapia</c:v>
                </c:pt>
                <c:pt idx="4">
                  <c:v>Observación clínica</c:v>
                </c:pt>
              </c:strCache>
            </c:strRef>
          </c:cat>
          <c:val>
            <c:numRef>
              <c:f>Hoja1!$M$4:$M$9</c:f>
              <c:numCache>
                <c:formatCode>General</c:formatCode>
                <c:ptCount val="5"/>
                <c:pt idx="0">
                  <c:v>42</c:v>
                </c:pt>
                <c:pt idx="1">
                  <c:v>40</c:v>
                </c:pt>
                <c:pt idx="2">
                  <c:v>44</c:v>
                </c:pt>
                <c:pt idx="3">
                  <c:v>42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A-45BF-9D15-CD2716942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923663"/>
        <c:axId val="2028781679"/>
      </c:barChart>
      <c:catAx>
        <c:axId val="20309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781679"/>
        <c:crosses val="autoZero"/>
        <c:auto val="1"/>
        <c:lblAlgn val="ctr"/>
        <c:lblOffset val="100"/>
        <c:noMultiLvlLbl val="0"/>
      </c:catAx>
      <c:valAx>
        <c:axId val="202878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092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[pacientes_aprendiz.xlsx]Hoja1!TablaDinámica3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Hoja1!$L$29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Hoja1!$K$30:$K$32</c:f>
              <c:strCache>
                <c:ptCount val="2"/>
                <c:pt idx="0">
                  <c:v>Alta médica</c:v>
                </c:pt>
                <c:pt idx="1">
                  <c:v>Referencia externa</c:v>
                </c:pt>
              </c:strCache>
            </c:strRef>
          </c:cat>
          <c:val>
            <c:numRef>
              <c:f>Hoja1!$L$30:$L$32</c:f>
              <c:numCache>
                <c:formatCode>General</c:formatCode>
                <c:ptCount val="2"/>
                <c:pt idx="0">
                  <c:v>101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2-4269-84ED-81A93822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041247"/>
        <c:axId val="1955368623"/>
      </c:barChart>
      <c:catAx>
        <c:axId val="202504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5368623"/>
        <c:crosses val="autoZero"/>
        <c:auto val="1"/>
        <c:lblAlgn val="ctr"/>
        <c:lblOffset val="100"/>
        <c:noMultiLvlLbl val="0"/>
      </c:catAx>
      <c:valAx>
        <c:axId val="19553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504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31723</xdr:colOff>
      <xdr:row>0</xdr:row>
      <xdr:rowOff>0</xdr:rowOff>
    </xdr:from>
    <xdr:to>
      <xdr:col>9</xdr:col>
      <xdr:colOff>380999</xdr:colOff>
      <xdr:row>11</xdr:row>
      <xdr:rowOff>46464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71DB17-0544-4E47-B715-70FC98D5E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671964</xdr:colOff>
      <xdr:row>29</xdr:row>
      <xdr:rowOff>178605</xdr:rowOff>
    </xdr:from>
    <xdr:to>
      <xdr:col>7</xdr:col>
      <xdr:colOff>617836</xdr:colOff>
      <xdr:row>44</xdr:row>
      <xdr:rowOff>131760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95C1A1-5B48-4305-B9AB-08E318970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808163</xdr:colOff>
      <xdr:row>0</xdr:row>
      <xdr:rowOff>0</xdr:rowOff>
    </xdr:from>
    <xdr:to>
      <xdr:col>19</xdr:col>
      <xdr:colOff>851930</xdr:colOff>
      <xdr:row>11</xdr:row>
      <xdr:rowOff>157406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143FAD-C985-2BC1-5640-C49846CD2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436757</xdr:colOff>
      <xdr:row>27</xdr:row>
      <xdr:rowOff>184925</xdr:rowOff>
    </xdr:from>
    <xdr:to>
      <xdr:col>17</xdr:col>
      <xdr:colOff>353123</xdr:colOff>
      <xdr:row>42</xdr:row>
      <xdr:rowOff>140320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53F0E6-1152-6A24-6A0D-8FE048308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778223</xdr:colOff>
      <xdr:row>14</xdr:row>
      <xdr:rowOff>36625</xdr:rowOff>
    </xdr:from>
    <xdr:to>
      <xdr:col>2</xdr:col>
      <xdr:colOff>210410</xdr:colOff>
      <xdr:row>27</xdr:row>
      <xdr:rowOff>106987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iagnóstico_Principal">
              <a:extLst>
                <a:ext uri="{FF2B5EF4-FFF2-40B4-BE49-F238E27FC236}">
                  <a16:creationId xmlns:a16="http://schemas.microsoft.com/office/drawing/2014/main" id="{8CA6BB0C-0191-46E0-8C1F-75680AE870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óstico_Princip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223" y="26175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2253799</xdr:colOff>
      <xdr:row>14</xdr:row>
      <xdr:rowOff>37362</xdr:rowOff>
    </xdr:from>
    <xdr:to>
      <xdr:col>2</xdr:col>
      <xdr:colOff>1824867</xdr:colOff>
      <xdr:row>27</xdr:row>
      <xdr:rowOff>107724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ipo_Tratamiento">
              <a:extLst>
                <a:ext uri="{FF2B5EF4-FFF2-40B4-BE49-F238E27FC236}">
                  <a16:creationId xmlns:a16="http://schemas.microsoft.com/office/drawing/2014/main" id="{E4565397-0B85-270D-CD54-5BC0A05F41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Tratami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2680" y="261833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29988</xdr:colOff>
      <xdr:row>14</xdr:row>
      <xdr:rowOff>50390</xdr:rowOff>
    </xdr:from>
    <xdr:to>
      <xdr:col>7</xdr:col>
      <xdr:colOff>433111</xdr:colOff>
      <xdr:row>27</xdr:row>
      <xdr:rowOff>120752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Área_Atención">
              <a:extLst>
                <a:ext uri="{FF2B5EF4-FFF2-40B4-BE49-F238E27FC236}">
                  <a16:creationId xmlns:a16="http://schemas.microsoft.com/office/drawing/2014/main" id="{476769D1-AB45-0158-880D-F7C1F33F7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_Atenc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3698" y="263135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202790</xdr:colOff>
      <xdr:row>14</xdr:row>
      <xdr:rowOff>38837</xdr:rowOff>
    </xdr:from>
    <xdr:to>
      <xdr:col>10</xdr:col>
      <xdr:colOff>532171</xdr:colOff>
      <xdr:row>27</xdr:row>
      <xdr:rowOff>109199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Médico_Responsable">
              <a:extLst>
                <a:ext uri="{FF2B5EF4-FFF2-40B4-BE49-F238E27FC236}">
                  <a16:creationId xmlns:a16="http://schemas.microsoft.com/office/drawing/2014/main" id="{66B3C8EB-9A43-3960-3981-2FEABA963C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dico_Responsa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5016" y="261980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1162172</xdr:colOff>
      <xdr:row>14</xdr:row>
      <xdr:rowOff>51865</xdr:rowOff>
    </xdr:from>
    <xdr:to>
      <xdr:col>12</xdr:col>
      <xdr:colOff>201069</xdr:colOff>
      <xdr:row>27</xdr:row>
      <xdr:rowOff>122227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Costo_Tratamiento">
              <a:extLst>
                <a:ext uri="{FF2B5EF4-FFF2-40B4-BE49-F238E27FC236}">
                  <a16:creationId xmlns:a16="http://schemas.microsoft.com/office/drawing/2014/main" id="{BB7D7F37-FC71-C1A1-46C0-E48B742E9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sto_Tratami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817" y="263283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609845</xdr:colOff>
      <xdr:row>13</xdr:row>
      <xdr:rowOff>175505</xdr:rowOff>
    </xdr:from>
    <xdr:to>
      <xdr:col>13</xdr:col>
      <xdr:colOff>410741</xdr:colOff>
      <xdr:row>27</xdr:row>
      <xdr:rowOff>61512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Forma_Pago">
              <a:extLst>
                <a:ext uri="{FF2B5EF4-FFF2-40B4-BE49-F238E27FC236}">
                  <a16:creationId xmlns:a16="http://schemas.microsoft.com/office/drawing/2014/main" id="{E0DA607D-E601-50A7-C2A8-938A0CDD6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21393" y="257211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782647</xdr:colOff>
      <xdr:row>13</xdr:row>
      <xdr:rowOff>90211</xdr:rowOff>
    </xdr:from>
    <xdr:to>
      <xdr:col>16</xdr:col>
      <xdr:colOff>374609</xdr:colOff>
      <xdr:row>26</xdr:row>
      <xdr:rowOff>160573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Seguro_Médico">
              <a:extLst>
                <a:ext uri="{FF2B5EF4-FFF2-40B4-BE49-F238E27FC236}">
                  <a16:creationId xmlns:a16="http://schemas.microsoft.com/office/drawing/2014/main" id="{69E76CA8-D4CE-9B5E-C49B-3D800E2EDB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uro_Médic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2099" y="248682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365513</xdr:colOff>
      <xdr:row>13</xdr:row>
      <xdr:rowOff>176981</xdr:rowOff>
    </xdr:from>
    <xdr:to>
      <xdr:col>19</xdr:col>
      <xdr:colOff>768636</xdr:colOff>
      <xdr:row>27</xdr:row>
      <xdr:rowOff>62988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Estado_Alta">
              <a:extLst>
                <a:ext uri="{FF2B5EF4-FFF2-40B4-BE49-F238E27FC236}">
                  <a16:creationId xmlns:a16="http://schemas.microsoft.com/office/drawing/2014/main" id="{2B7BB909-E8B8-D4D8-165E-CDFE72BB50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Al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54642" y="25735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A" refreshedDate="46279.487124074076" createdVersion="7" refreshedVersion="7" minRefreshableVersion="3" recordCount="200" xr:uid="{0469DEAF-F2F4-4896-9ADA-C243F3F6D6EF}">
  <cacheSource type="worksheet">
    <worksheetSource ref="C1:O201" sheet="Pacientes_clinica_aprendiz (2)"/>
  </cacheSource>
  <cacheFields count="15">
    <cacheField name="Fecha_Nacimiento" numFmtId="14">
      <sharedItems containsSemiMixedTypes="0" containsNonDate="0" containsDate="1" containsString="0" minDate="1950-05-04T00:00:00" maxDate="2010-03-14T00:00:00"/>
    </cacheField>
    <cacheField name="Edad" numFmtId="0">
      <sharedItems containsSemiMixedTypes="0" containsString="0" containsNumber="1" containsInteger="1" minValue="17" maxValue="76"/>
    </cacheField>
    <cacheField name="Fecha_Ingreso" numFmtId="14">
      <sharedItems containsSemiMixedTypes="0" containsNonDate="0" containsDate="1" containsString="0" minDate="2024-01-05T00:00:00" maxDate="2026-03-24T00:00:00" count="178">
        <d v="2025-06-10T00:00:00"/>
        <d v="2024-03-09T00:00:00"/>
        <d v="2024-05-12T00:00:00"/>
        <d v="2026-01-06T00:00:00"/>
        <d v="2025-05-12T00:00:00"/>
        <d v="2024-01-08T00:00:00"/>
        <d v="2024-03-24T00:00:00"/>
        <d v="2025-06-28T00:00:00"/>
        <d v="2024-01-05T00:00:00"/>
        <d v="2024-05-11T00:00:00"/>
        <d v="2025-03-25T00:00:00"/>
        <d v="2025-07-21T00:00:00"/>
        <d v="2025-06-18T00:00:00"/>
        <d v="2024-07-02T00:00:00"/>
        <d v="2025-08-06T00:00:00"/>
        <d v="2024-07-13T00:00:00"/>
        <d v="2024-09-23T00:00:00"/>
        <d v="2025-09-04T00:00:00"/>
        <d v="2025-06-16T00:00:00"/>
        <d v="2025-11-27T00:00:00"/>
        <d v="2025-06-23T00:00:00"/>
        <d v="2025-04-11T00:00:00"/>
        <d v="2024-03-17T00:00:00"/>
        <d v="2024-10-28T00:00:00"/>
        <d v="2024-08-05T00:00:00"/>
        <d v="2024-07-19T00:00:00"/>
        <d v="2026-03-08T00:00:00"/>
        <d v="2024-11-18T00:00:00"/>
        <d v="2026-01-01T00:00:00"/>
        <d v="2025-06-01T00:00:00"/>
        <d v="2025-10-13T00:00:00"/>
        <d v="2025-02-16T00:00:00"/>
        <d v="2025-04-18T00:00:00"/>
        <d v="2025-02-07T00:00:00"/>
        <d v="2024-06-09T00:00:00"/>
        <d v="2025-08-15T00:00:00"/>
        <d v="2024-08-18T00:00:00"/>
        <d v="2024-01-20T00:00:00"/>
        <d v="2025-06-13T00:00:00"/>
        <d v="2024-05-25T00:00:00"/>
        <d v="2026-02-10T00:00:00"/>
        <d v="2026-02-21T00:00:00"/>
        <d v="2026-01-20T00:00:00"/>
        <d v="2024-10-30T00:00:00"/>
        <d v="2024-01-13T00:00:00"/>
        <d v="2026-01-31T00:00:00"/>
        <d v="2024-12-17T00:00:00"/>
        <d v="2026-03-03T00:00:00"/>
        <d v="2026-03-01T00:00:00"/>
        <d v="2025-11-30T00:00:00"/>
        <d v="2024-08-29T00:00:00"/>
        <d v="2024-11-11T00:00:00"/>
        <d v="2025-11-28T00:00:00"/>
        <d v="2024-09-16T00:00:00"/>
        <d v="2024-05-18T00:00:00"/>
        <d v="2025-04-01T00:00:00"/>
        <d v="2026-02-06T00:00:00"/>
        <d v="2025-07-24T00:00:00"/>
        <d v="2025-04-12T00:00:00"/>
        <d v="2024-03-20T00:00:00"/>
        <d v="2025-05-19T00:00:00"/>
        <d v="2026-03-22T00:00:00"/>
        <d v="2024-04-24T00:00:00"/>
        <d v="2025-03-01T00:00:00"/>
        <d v="2025-12-20T00:00:00"/>
        <d v="2025-08-30T00:00:00"/>
        <d v="2025-07-25T00:00:00"/>
        <d v="2025-07-30T00:00:00"/>
        <d v="2024-10-21T00:00:00"/>
        <d v="2024-08-28T00:00:00"/>
        <d v="2025-10-25T00:00:00"/>
        <d v="2025-10-26T00:00:00"/>
        <d v="2025-12-11T00:00:00"/>
        <d v="2026-01-18T00:00:00"/>
        <d v="2025-02-23T00:00:00"/>
        <d v="2025-02-15T00:00:00"/>
        <d v="2025-10-16T00:00:00"/>
        <d v="2025-07-29T00:00:00"/>
        <d v="2025-10-14T00:00:00"/>
        <d v="2025-12-30T00:00:00"/>
        <d v="2024-10-04T00:00:00"/>
        <d v="2024-11-03T00:00:00"/>
        <d v="2024-03-18T00:00:00"/>
        <d v="2025-04-19T00:00:00"/>
        <d v="2024-01-30T00:00:00"/>
        <d v="2025-01-16T00:00:00"/>
        <d v="2025-03-20T00:00:00"/>
        <d v="2024-08-22T00:00:00"/>
        <d v="2025-04-29T00:00:00"/>
        <d v="2024-01-26T00:00:00"/>
        <d v="2024-01-31T00:00:00"/>
        <d v="2025-11-05T00:00:00"/>
        <d v="2024-10-22T00:00:00"/>
        <d v="2024-04-14T00:00:00"/>
        <d v="2025-03-04T00:00:00"/>
        <d v="2025-09-23T00:00:00"/>
        <d v="2024-06-25T00:00:00"/>
        <d v="2025-05-25T00:00:00"/>
        <d v="2024-03-10T00:00:00"/>
        <d v="2024-02-12T00:00:00"/>
        <d v="2025-03-11T00:00:00"/>
        <d v="2025-03-19T00:00:00"/>
        <d v="2025-06-06T00:00:00"/>
        <d v="2025-08-18T00:00:00"/>
        <d v="2026-03-11T00:00:00"/>
        <d v="2025-02-27T00:00:00"/>
        <d v="2024-09-21T00:00:00"/>
        <d v="2024-08-10T00:00:00"/>
        <d v="2024-12-25T00:00:00"/>
        <d v="2024-03-05T00:00:00"/>
        <d v="2024-01-21T00:00:00"/>
        <d v="2026-02-28T00:00:00"/>
        <d v="2025-11-16T00:00:00"/>
        <d v="2024-12-01T00:00:00"/>
        <d v="2024-05-22T00:00:00"/>
        <d v="2024-05-08T00:00:00"/>
        <d v="2024-07-24T00:00:00"/>
        <d v="2025-03-26T00:00:00"/>
        <d v="2025-08-08T00:00:00"/>
        <d v="2025-06-25T00:00:00"/>
        <d v="2024-08-17T00:00:00"/>
        <d v="2025-08-28T00:00:00"/>
        <d v="2025-03-30T00:00:00"/>
        <d v="2025-05-16T00:00:00"/>
        <d v="2024-12-10T00:00:00"/>
        <d v="2024-07-22T00:00:00"/>
        <d v="2024-10-18T00:00:00"/>
        <d v="2025-09-13T00:00:00"/>
        <d v="2024-01-12T00:00:00"/>
        <d v="2024-04-05T00:00:00"/>
        <d v="2024-02-07T00:00:00"/>
        <d v="2024-02-03T00:00:00"/>
        <d v="2025-12-02T00:00:00"/>
        <d v="2025-01-23T00:00:00"/>
        <d v="2024-03-21T00:00:00"/>
        <d v="2024-12-21T00:00:00"/>
        <d v="2024-11-22T00:00:00"/>
        <d v="2025-06-04T00:00:00"/>
        <d v="2025-05-28T00:00:00"/>
        <d v="2025-12-03T00:00:00"/>
        <d v="2025-06-24T00:00:00"/>
        <d v="2024-05-13T00:00:00"/>
        <d v="2024-02-27T00:00:00"/>
        <d v="2024-01-22T00:00:00"/>
        <d v="2025-04-25T00:00:00"/>
        <d v="2026-02-09T00:00:00"/>
        <d v="2025-04-16T00:00:00"/>
        <d v="2024-11-14T00:00:00"/>
        <d v="2025-06-11T00:00:00"/>
        <d v="2025-01-10T00:00:00"/>
        <d v="2025-03-23T00:00:00"/>
        <d v="2026-02-11T00:00:00"/>
        <d v="2024-11-12T00:00:00"/>
        <d v="2026-02-27T00:00:00"/>
        <d v="2026-01-12T00:00:00"/>
        <d v="2024-02-26T00:00:00"/>
        <d v="2024-03-23T00:00:00"/>
        <d v="2024-01-15T00:00:00"/>
        <d v="2025-07-14T00:00:00"/>
        <d v="2024-02-28T00:00:00"/>
        <d v="2024-09-18T00:00:00"/>
        <d v="2025-11-23T00:00:00"/>
        <d v="2025-10-29T00:00:00"/>
        <d v="2024-08-19T00:00:00"/>
        <d v="2024-04-06T00:00:00"/>
        <d v="2025-05-30T00:00:00"/>
        <d v="2025-08-25T00:00:00"/>
        <d v="2025-10-20T00:00:00"/>
        <d v="2025-09-07T00:00:00"/>
        <d v="2025-10-23T00:00:00"/>
        <d v="2026-03-23T00:00:00"/>
        <d v="2024-12-04T00:00:00"/>
        <d v="2024-11-01T00:00:00"/>
        <d v="2025-09-28T00:00:00"/>
        <d v="2024-10-06T00:00:00"/>
        <d v="2026-02-02T00:00:00"/>
        <d v="2025-12-04T00:00:00"/>
        <d v="2025-09-10T00:00:00"/>
      </sharedItems>
      <fieldGroup par="14" base="2">
        <rangePr groupBy="months" startDate="2024-01-05T00:00:00" endDate="2026-03-24T00:00:00"/>
        <groupItems count="14">
          <s v="&lt;5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4/03/2026"/>
        </groupItems>
      </fieldGroup>
    </cacheField>
    <cacheField name="Fecha_Salida" numFmtId="14">
      <sharedItems containsSemiMixedTypes="0" containsNonDate="0" containsDate="1" containsString="0" minDate="2024-01-09T00:00:00" maxDate="2026-04-08T00:00:00"/>
    </cacheField>
    <cacheField name="Estancia_Días" numFmtId="1">
      <sharedItems containsSemiMixedTypes="0" containsString="0" containsNumber="1" containsInteger="1" minValue="1" maxValue="20" count="20">
        <n v="9"/>
        <n v="17"/>
        <n v="20"/>
        <n v="16"/>
        <n v="13"/>
        <n v="19"/>
        <n v="4"/>
        <n v="12"/>
        <n v="7"/>
        <n v="14"/>
        <n v="15"/>
        <n v="5"/>
        <n v="3"/>
        <n v="10"/>
        <n v="11"/>
        <n v="18"/>
        <n v="6"/>
        <n v="8"/>
        <n v="2"/>
        <n v="1"/>
      </sharedItems>
    </cacheField>
    <cacheField name="Diagnóstico_Principal" numFmtId="0">
      <sharedItems count="5">
        <s v="Chequeo general"/>
        <s v="Lesión musculoesquelética"/>
        <s v="Infección respiratoria"/>
        <s v="Hipertensión"/>
        <s v="Diabetes"/>
      </sharedItems>
    </cacheField>
    <cacheField name="Tipo_Tratamiento" numFmtId="0">
      <sharedItems count="5">
        <s v="Cirugía menor"/>
        <s v="Observación clínica"/>
        <s v="Farmacológico"/>
        <s v="Control preventivo"/>
        <s v="Fisioterapia"/>
      </sharedItems>
    </cacheField>
    <cacheField name="Área_Atención" numFmtId="0">
      <sharedItems count="3">
        <s v="Urgencias"/>
        <s v="Consulta externa"/>
        <s v="Hospitalización"/>
      </sharedItems>
    </cacheField>
    <cacheField name="Médico_Responsable" numFmtId="0">
      <sharedItems count="4">
        <s v="Dr. Gómez"/>
        <s v="Dra. Martínez"/>
        <s v="Dr. López"/>
        <s v="Dra. Hernández"/>
      </sharedItems>
    </cacheField>
    <cacheField name="Costo_Tratamiento" numFmtId="164">
      <sharedItems containsSemiMixedTypes="0" containsString="0" containsNumber="1" minValue="1553.8" maxValue="44803.4" count="200">
        <n v="42428.08"/>
        <n v="37467.49"/>
        <n v="30513.26"/>
        <n v="26607.56"/>
        <n v="16662.95"/>
        <n v="8429"/>
        <n v="27815.5"/>
        <n v="15337.85"/>
        <n v="39190.080000000002"/>
        <n v="44710.16"/>
        <n v="34230.61"/>
        <n v="5435.95"/>
        <n v="14057.82"/>
        <n v="6246.27"/>
        <n v="29797.26"/>
        <n v="34785.800000000003"/>
        <n v="41766.86"/>
        <n v="20560.5"/>
        <n v="40709.839999999997"/>
        <n v="39688.269999999997"/>
        <n v="15298.01"/>
        <n v="39297.18"/>
        <n v="17841.740000000002"/>
        <n v="14413.81"/>
        <n v="29734.75"/>
        <n v="15784.58"/>
        <n v="28914.080000000002"/>
        <n v="28027.68"/>
        <n v="26009.59"/>
        <n v="18048.259999999998"/>
        <n v="25359.74"/>
        <n v="27447.119999999999"/>
        <n v="25237.38"/>
        <n v="20832.25"/>
        <n v="2138.02"/>
        <n v="27037.18"/>
        <n v="8827.33"/>
        <n v="29452.05"/>
        <n v="34531.480000000003"/>
        <n v="23269.37"/>
        <n v="25092.82"/>
        <n v="42889.32"/>
        <n v="38351.78"/>
        <n v="41269.29"/>
        <n v="36898.83"/>
        <n v="6237.95"/>
        <n v="7981.15"/>
        <n v="24408.14"/>
        <n v="12204.03"/>
        <n v="22236.25"/>
        <n v="18654.89"/>
        <n v="25399.52"/>
        <n v="33989.089999999997"/>
        <n v="32623.85"/>
        <n v="24173.68"/>
        <n v="37274.11"/>
        <n v="20242.5"/>
        <n v="40507.07"/>
        <n v="4600.6899999999996"/>
        <n v="43027.71"/>
        <n v="29979.15"/>
        <n v="18033.240000000002"/>
        <n v="10076.200000000001"/>
        <n v="22344.47"/>
        <n v="9963.2900000000009"/>
        <n v="8735.42"/>
        <n v="28354.799999999999"/>
        <n v="24254.19"/>
        <n v="30649.18"/>
        <n v="41937.86"/>
        <n v="24653.32"/>
        <n v="26770.54"/>
        <n v="5398.75"/>
        <n v="32717.16"/>
        <n v="18895.88"/>
        <n v="43987.55"/>
        <n v="37308.07"/>
        <n v="24227.93"/>
        <n v="6860.19"/>
        <n v="38884.589999999997"/>
        <n v="36290.480000000003"/>
        <n v="9529.4500000000007"/>
        <n v="14344.61"/>
        <n v="36013.22"/>
        <n v="9557.44"/>
        <n v="41422.230000000003"/>
        <n v="19966.939999999999"/>
        <n v="5286.19"/>
        <n v="36985.07"/>
        <n v="17747.669999999998"/>
        <n v="24402.71"/>
        <n v="6385.24"/>
        <n v="1612.4"/>
        <n v="29252.36"/>
        <n v="23910.12"/>
        <n v="27318.93"/>
        <n v="36027.86"/>
        <n v="29627.360000000001"/>
        <n v="9102.64"/>
        <n v="17193.599999999999"/>
        <n v="40906.26"/>
        <n v="34992.589999999997"/>
        <n v="25713.71"/>
        <n v="12620.56"/>
        <n v="14639.63"/>
        <n v="33340.18"/>
        <n v="38526.080000000002"/>
        <n v="30706.97"/>
        <n v="36714.550000000003"/>
        <n v="34849.54"/>
        <n v="8012.12"/>
        <n v="19941.599999999999"/>
        <n v="8154.8"/>
        <n v="11732.75"/>
        <n v="39312.79"/>
        <n v="22070.799999999999"/>
        <n v="24788.080000000002"/>
        <n v="9262.4"/>
        <n v="15083.82"/>
        <n v="11515.71"/>
        <n v="10469.1"/>
        <n v="29251.29"/>
        <n v="12674.45"/>
        <n v="28992.67"/>
        <n v="4042.78"/>
        <n v="7667.19"/>
        <n v="13442.5"/>
        <n v="27471.54"/>
        <n v="30899.09"/>
        <n v="20758.189999999999"/>
        <n v="20891.900000000001"/>
        <n v="33016.480000000003"/>
        <n v="2188.2199999999998"/>
        <n v="16337.42"/>
        <n v="37113.760000000002"/>
        <n v="27740.04"/>
        <n v="16169.38"/>
        <n v="40890.33"/>
        <n v="35109.089999999997"/>
        <n v="13022.95"/>
        <n v="29570.11"/>
        <n v="27415.16"/>
        <n v="18951.669999999998"/>
        <n v="17462.59"/>
        <n v="16444.88"/>
        <n v="28346.28"/>
        <n v="20744.830000000002"/>
        <n v="37686.050000000003"/>
        <n v="30627.71"/>
        <n v="4542.0200000000004"/>
        <n v="29347.32"/>
        <n v="13294.91"/>
        <n v="27287.32"/>
        <n v="31085.74"/>
        <n v="11541.07"/>
        <n v="21373.35"/>
        <n v="9779.1299999999992"/>
        <n v="3776.74"/>
        <n v="17963.72"/>
        <n v="17288.080000000002"/>
        <n v="44803.4"/>
        <n v="20916.330000000002"/>
        <n v="16010.28"/>
        <n v="26750.66"/>
        <n v="5361.38"/>
        <n v="43332.46"/>
        <n v="29120.76"/>
        <n v="34335.449999999997"/>
        <n v="8915.7900000000009"/>
        <n v="19312.29"/>
        <n v="19886.98"/>
        <n v="37248.58"/>
        <n v="1553.8"/>
        <n v="14587.11"/>
        <n v="44183.78"/>
        <n v="22157.56"/>
        <n v="18139.89"/>
        <n v="6712.56"/>
        <n v="43876.160000000003"/>
        <n v="2371.15"/>
        <n v="33567.339999999997"/>
        <n v="34934.089999999997"/>
        <n v="12099.07"/>
        <n v="30712.79"/>
        <n v="5542.42"/>
        <n v="12681.56"/>
        <n v="35773.74"/>
        <n v="39113.85"/>
        <n v="27969.16"/>
        <n v="23547.47"/>
        <n v="8429.7199999999993"/>
        <n v="4245.24"/>
        <n v="6617.73"/>
        <n v="11390.04"/>
        <n v="16362.84"/>
        <n v="18069.560000000001"/>
        <n v="16565"/>
        <n v="11898.91"/>
        <n v="23673"/>
        <n v="37399.949999999997"/>
      </sharedItems>
    </cacheField>
    <cacheField name="Forma_Pago" numFmtId="0">
      <sharedItems count="3">
        <s v="Seguro"/>
        <s v="Efectivo"/>
        <s v="Tarjeta"/>
      </sharedItems>
    </cacheField>
    <cacheField name="Seguro_Médico" numFmtId="0">
      <sharedItems count="2">
        <s v="Sí"/>
        <s v="No"/>
      </sharedItems>
    </cacheField>
    <cacheField name="Estado_Alta" numFmtId="0">
      <sharedItems count="2">
        <s v="Alta médica"/>
        <s v="Referencia externa"/>
      </sharedItems>
    </cacheField>
    <cacheField name="Trimestres" numFmtId="0" databaseField="0">
      <fieldGroup base="2">
        <rangePr groupBy="quarters" startDate="2024-01-05T00:00:00" endDate="2026-03-24T00:00:00"/>
        <groupItems count="6">
          <s v="&lt;5/01/2024"/>
          <s v="Trim.1"/>
          <s v="Trim.2"/>
          <s v="Trim.3"/>
          <s v="Trim.4"/>
          <s v="&gt;24/03/2026"/>
        </groupItems>
      </fieldGroup>
    </cacheField>
    <cacheField name="Años" numFmtId="0" databaseField="0">
      <fieldGroup base="2">
        <rangePr groupBy="years" startDate="2024-01-05T00:00:00" endDate="2026-03-24T00:00:00"/>
        <groupItems count="5">
          <s v="&lt;5/01/2024"/>
          <s v="2024"/>
          <s v="2025"/>
          <s v="2026"/>
          <s v="&gt;24/03/2026"/>
        </groupItems>
      </fieldGroup>
    </cacheField>
  </cacheFields>
  <extLst>
    <ext xmlns:x14="http://schemas.microsoft.com/office/spreadsheetml/2009/9/main" uri="{725AE2AE-9491-48be-B2B4-4EB974FC3084}">
      <x14:pivotCacheDefinition pivotCacheId="103236914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Albeiro Gonzalez Mendez" refreshedDate="46279.620598726855" createdVersion="8" refreshedVersion="8" minRefreshableVersion="3" recordCount="200" xr:uid="{55AB2BB9-E9F8-4D5D-9EE2-6511C71B5E10}">
  <cacheSource type="worksheet">
    <worksheetSource ref="A1:O201" sheet="Pacientes_clinica_aprendiz (2)"/>
  </cacheSource>
  <cacheFields count="18">
    <cacheField name="ID_Paciente" numFmtId="0">
      <sharedItems count="200">
        <s v="PAC-0001"/>
        <s v="PAC-0002"/>
        <s v="PAC-0003"/>
        <s v="PAC-0004"/>
        <s v="PAC-0005"/>
        <s v="PAC-0006"/>
        <s v="PAC-0007"/>
        <s v="PAC-0008"/>
        <s v="PAC-0009"/>
        <s v="PAC-0010"/>
        <s v="PAC-0011"/>
        <s v="PAC-0012"/>
        <s v="PAC-0013"/>
        <s v="PAC-0014"/>
        <s v="PAC-0015"/>
        <s v="PAC-0016"/>
        <s v="PAC-0017"/>
        <s v="PAC-0018"/>
        <s v="PAC-0019"/>
        <s v="PAC-0020"/>
        <s v="PAC-0021"/>
        <s v="PAC-0022"/>
        <s v="PAC-0023"/>
        <s v="PAC-0024"/>
        <s v="PAC-0025"/>
        <s v="PAC-0026"/>
        <s v="PAC-0027"/>
        <s v="PAC-0028"/>
        <s v="PAC-0029"/>
        <s v="PAC-0030"/>
        <s v="PAC-0031"/>
        <s v="PAC-0032"/>
        <s v="PAC-0033"/>
        <s v="PAC-0034"/>
        <s v="PAC-0035"/>
        <s v="PAC-0036"/>
        <s v="PAC-0037"/>
        <s v="PAC-0038"/>
        <s v="PAC-0039"/>
        <s v="PAC-0040"/>
        <s v="PAC-0041"/>
        <s v="PAC-0042"/>
        <s v="PAC-0043"/>
        <s v="PAC-0044"/>
        <s v="PAC-0045"/>
        <s v="PAC-0046"/>
        <s v="PAC-0047"/>
        <s v="PAC-0048"/>
        <s v="PAC-0049"/>
        <s v="PAC-0050"/>
        <s v="PAC-0051"/>
        <s v="PAC-0052"/>
        <s v="PAC-0053"/>
        <s v="PAC-0054"/>
        <s v="PAC-0055"/>
        <s v="PAC-0056"/>
        <s v="PAC-0057"/>
        <s v="PAC-0058"/>
        <s v="PAC-0059"/>
        <s v="PAC-0060"/>
        <s v="PAC-0061"/>
        <s v="PAC-0062"/>
        <s v="PAC-0063"/>
        <s v="PAC-0064"/>
        <s v="PAC-0065"/>
        <s v="PAC-0066"/>
        <s v="PAC-0067"/>
        <s v="PAC-0068"/>
        <s v="PAC-0069"/>
        <s v="PAC-0070"/>
        <s v="PAC-0071"/>
        <s v="PAC-0072"/>
        <s v="PAC-0073"/>
        <s v="PAC-0074"/>
        <s v="PAC-0075"/>
        <s v="PAC-0076"/>
        <s v="PAC-0077"/>
        <s v="PAC-0078"/>
        <s v="PAC-0079"/>
        <s v="PAC-0080"/>
        <s v="PAC-0081"/>
        <s v="PAC-0082"/>
        <s v="PAC-0083"/>
        <s v="PAC-0084"/>
        <s v="PAC-0085"/>
        <s v="PAC-0086"/>
        <s v="PAC-0087"/>
        <s v="PAC-0088"/>
        <s v="PAC-0089"/>
        <s v="PAC-0090"/>
        <s v="PAC-0091"/>
        <s v="PAC-0092"/>
        <s v="PAC-0093"/>
        <s v="PAC-0094"/>
        <s v="PAC-0095"/>
        <s v="PAC-0096"/>
        <s v="PAC-0097"/>
        <s v="PAC-0098"/>
        <s v="PAC-0099"/>
        <s v="PAC-0100"/>
        <s v="PAC-0101"/>
        <s v="PAC-0102"/>
        <s v="PAC-0103"/>
        <s v="PAC-0104"/>
        <s v="PAC-0105"/>
        <s v="PAC-0106"/>
        <s v="PAC-0107"/>
        <s v="PAC-0108"/>
        <s v="PAC-0109"/>
        <s v="PAC-0110"/>
        <s v="PAC-0111"/>
        <s v="PAC-0112"/>
        <s v="PAC-0113"/>
        <s v="PAC-0114"/>
        <s v="PAC-0115"/>
        <s v="PAC-0116"/>
        <s v="PAC-0117"/>
        <s v="PAC-0118"/>
        <s v="PAC-0119"/>
        <s v="PAC-0120"/>
        <s v="PAC-0121"/>
        <s v="PAC-0122"/>
        <s v="PAC-0123"/>
        <s v="PAC-0124"/>
        <s v="PAC-0125"/>
        <s v="PAC-0126"/>
        <s v="PAC-0127"/>
        <s v="PAC-0128"/>
        <s v="PAC-0129"/>
        <s v="PAC-0130"/>
        <s v="PAC-0131"/>
        <s v="PAC-0132"/>
        <s v="PAC-0133"/>
        <s v="PAC-0134"/>
        <s v="PAC-0135"/>
        <s v="PAC-0136"/>
        <s v="PAC-0137"/>
        <s v="PAC-0138"/>
        <s v="PAC-0139"/>
        <s v="PAC-0140"/>
        <s v="PAC-0141"/>
        <s v="PAC-0142"/>
        <s v="PAC-0143"/>
        <s v="PAC-0144"/>
        <s v="PAC-0145"/>
        <s v="PAC-0146"/>
        <s v="PAC-0147"/>
        <s v="PAC-0148"/>
        <s v="PAC-0149"/>
        <s v="PAC-0150"/>
        <s v="PAC-0151"/>
        <s v="PAC-0152"/>
        <s v="PAC-0153"/>
        <s v="PAC-0154"/>
        <s v="PAC-0155"/>
        <s v="PAC-0156"/>
        <s v="PAC-0157"/>
        <s v="PAC-0158"/>
        <s v="PAC-0159"/>
        <s v="PAC-0160"/>
        <s v="PAC-0161"/>
        <s v="PAC-0162"/>
        <s v="PAC-0163"/>
        <s v="PAC-0164"/>
        <s v="PAC-0165"/>
        <s v="PAC-0166"/>
        <s v="PAC-0167"/>
        <s v="PAC-0168"/>
        <s v="PAC-0169"/>
        <s v="PAC-0170"/>
        <s v="PAC-0171"/>
        <s v="PAC-0172"/>
        <s v="PAC-0173"/>
        <s v="PAC-0174"/>
        <s v="PAC-0175"/>
        <s v="PAC-0176"/>
        <s v="PAC-0177"/>
        <s v="PAC-0178"/>
        <s v="PAC-0179"/>
        <s v="PAC-0180"/>
        <s v="PAC-0181"/>
        <s v="PAC-0182"/>
        <s v="PAC-0183"/>
        <s v="PAC-0184"/>
        <s v="PAC-0185"/>
        <s v="PAC-0186"/>
        <s v="PAC-0187"/>
        <s v="PAC-0188"/>
        <s v="PAC-0189"/>
        <s v="PAC-0190"/>
        <s v="PAC-0191"/>
        <s v="PAC-0192"/>
        <s v="PAC-0193"/>
        <s v="PAC-0194"/>
        <s v="PAC-0195"/>
        <s v="PAC-0196"/>
        <s v="PAC-0197"/>
        <s v="PAC-0198"/>
        <s v="PAC-0199"/>
        <s v="PAC-0200"/>
      </sharedItems>
    </cacheField>
    <cacheField name="Sexo" numFmtId="0">
      <sharedItems/>
    </cacheField>
    <cacheField name="Fecha_Nacimiento" numFmtId="14">
      <sharedItems containsSemiMixedTypes="0" containsNonDate="0" containsDate="1" containsString="0" minDate="1950-05-04T00:00:00" maxDate="2010-03-14T00:00:00"/>
    </cacheField>
    <cacheField name="Edad" numFmtId="0">
      <sharedItems containsSemiMixedTypes="0" containsString="0" containsNumber="1" containsInteger="1" minValue="17" maxValue="76"/>
    </cacheField>
    <cacheField name="Fecha_Ingreso" numFmtId="14">
      <sharedItems containsSemiMixedTypes="0" containsNonDate="0" containsDate="1" containsString="0" minDate="2024-01-05T00:00:00" maxDate="2026-03-24T00:00:00" count="178">
        <d v="2025-06-10T00:00:00"/>
        <d v="2024-03-09T00:00:00"/>
        <d v="2024-05-12T00:00:00"/>
        <d v="2026-01-06T00:00:00"/>
        <d v="2025-05-12T00:00:00"/>
        <d v="2024-01-08T00:00:00"/>
        <d v="2024-03-24T00:00:00"/>
        <d v="2025-06-28T00:00:00"/>
        <d v="2024-01-05T00:00:00"/>
        <d v="2024-05-11T00:00:00"/>
        <d v="2025-03-25T00:00:00"/>
        <d v="2025-07-21T00:00:00"/>
        <d v="2025-06-18T00:00:00"/>
        <d v="2024-07-02T00:00:00"/>
        <d v="2025-08-06T00:00:00"/>
        <d v="2024-07-13T00:00:00"/>
        <d v="2024-09-23T00:00:00"/>
        <d v="2025-09-04T00:00:00"/>
        <d v="2025-06-16T00:00:00"/>
        <d v="2025-11-27T00:00:00"/>
        <d v="2025-06-23T00:00:00"/>
        <d v="2025-04-11T00:00:00"/>
        <d v="2024-03-17T00:00:00"/>
        <d v="2024-10-28T00:00:00"/>
        <d v="2024-08-05T00:00:00"/>
        <d v="2024-07-19T00:00:00"/>
        <d v="2026-03-08T00:00:00"/>
        <d v="2024-11-18T00:00:00"/>
        <d v="2026-01-01T00:00:00"/>
        <d v="2025-06-01T00:00:00"/>
        <d v="2025-10-13T00:00:00"/>
        <d v="2025-02-16T00:00:00"/>
        <d v="2025-04-18T00:00:00"/>
        <d v="2025-02-07T00:00:00"/>
        <d v="2024-06-09T00:00:00"/>
        <d v="2025-08-15T00:00:00"/>
        <d v="2024-08-18T00:00:00"/>
        <d v="2024-01-20T00:00:00"/>
        <d v="2025-06-13T00:00:00"/>
        <d v="2024-05-25T00:00:00"/>
        <d v="2026-02-10T00:00:00"/>
        <d v="2026-02-21T00:00:00"/>
        <d v="2026-01-20T00:00:00"/>
        <d v="2024-10-30T00:00:00"/>
        <d v="2024-01-13T00:00:00"/>
        <d v="2026-01-31T00:00:00"/>
        <d v="2024-12-17T00:00:00"/>
        <d v="2026-03-03T00:00:00"/>
        <d v="2026-03-01T00:00:00"/>
        <d v="2025-11-30T00:00:00"/>
        <d v="2024-08-29T00:00:00"/>
        <d v="2024-11-11T00:00:00"/>
        <d v="2025-11-28T00:00:00"/>
        <d v="2024-09-16T00:00:00"/>
        <d v="2024-05-18T00:00:00"/>
        <d v="2025-04-01T00:00:00"/>
        <d v="2026-02-06T00:00:00"/>
        <d v="2025-07-24T00:00:00"/>
        <d v="2025-04-12T00:00:00"/>
        <d v="2024-03-20T00:00:00"/>
        <d v="2025-05-19T00:00:00"/>
        <d v="2026-03-22T00:00:00"/>
        <d v="2024-04-24T00:00:00"/>
        <d v="2025-03-01T00:00:00"/>
        <d v="2025-12-20T00:00:00"/>
        <d v="2025-08-30T00:00:00"/>
        <d v="2025-07-25T00:00:00"/>
        <d v="2025-07-30T00:00:00"/>
        <d v="2024-10-21T00:00:00"/>
        <d v="2024-08-28T00:00:00"/>
        <d v="2025-10-25T00:00:00"/>
        <d v="2025-10-26T00:00:00"/>
        <d v="2025-12-11T00:00:00"/>
        <d v="2026-01-18T00:00:00"/>
        <d v="2025-02-23T00:00:00"/>
        <d v="2025-02-15T00:00:00"/>
        <d v="2025-10-16T00:00:00"/>
        <d v="2025-07-29T00:00:00"/>
        <d v="2025-10-14T00:00:00"/>
        <d v="2025-12-30T00:00:00"/>
        <d v="2024-10-04T00:00:00"/>
        <d v="2024-11-03T00:00:00"/>
        <d v="2024-03-18T00:00:00"/>
        <d v="2025-04-19T00:00:00"/>
        <d v="2024-01-30T00:00:00"/>
        <d v="2025-01-16T00:00:00"/>
        <d v="2025-03-20T00:00:00"/>
        <d v="2024-08-22T00:00:00"/>
        <d v="2025-04-29T00:00:00"/>
        <d v="2024-01-26T00:00:00"/>
        <d v="2024-01-31T00:00:00"/>
        <d v="2025-11-05T00:00:00"/>
        <d v="2024-10-22T00:00:00"/>
        <d v="2024-04-14T00:00:00"/>
        <d v="2025-03-04T00:00:00"/>
        <d v="2025-09-23T00:00:00"/>
        <d v="2024-06-25T00:00:00"/>
        <d v="2025-05-25T00:00:00"/>
        <d v="2024-03-10T00:00:00"/>
        <d v="2024-02-12T00:00:00"/>
        <d v="2025-03-11T00:00:00"/>
        <d v="2025-03-19T00:00:00"/>
        <d v="2025-06-06T00:00:00"/>
        <d v="2025-08-18T00:00:00"/>
        <d v="2026-03-11T00:00:00"/>
        <d v="2025-02-27T00:00:00"/>
        <d v="2024-09-21T00:00:00"/>
        <d v="2024-08-10T00:00:00"/>
        <d v="2024-12-25T00:00:00"/>
        <d v="2024-03-05T00:00:00"/>
        <d v="2024-01-21T00:00:00"/>
        <d v="2026-02-28T00:00:00"/>
        <d v="2025-11-16T00:00:00"/>
        <d v="2024-12-01T00:00:00"/>
        <d v="2024-05-22T00:00:00"/>
        <d v="2024-05-08T00:00:00"/>
        <d v="2024-07-24T00:00:00"/>
        <d v="2025-03-26T00:00:00"/>
        <d v="2025-08-08T00:00:00"/>
        <d v="2025-06-25T00:00:00"/>
        <d v="2024-08-17T00:00:00"/>
        <d v="2025-08-28T00:00:00"/>
        <d v="2025-03-30T00:00:00"/>
        <d v="2025-05-16T00:00:00"/>
        <d v="2024-12-10T00:00:00"/>
        <d v="2024-07-22T00:00:00"/>
        <d v="2024-10-18T00:00:00"/>
        <d v="2025-09-13T00:00:00"/>
        <d v="2024-01-12T00:00:00"/>
        <d v="2024-04-05T00:00:00"/>
        <d v="2024-02-07T00:00:00"/>
        <d v="2024-02-03T00:00:00"/>
        <d v="2025-12-02T00:00:00"/>
        <d v="2025-01-23T00:00:00"/>
        <d v="2024-03-21T00:00:00"/>
        <d v="2024-12-21T00:00:00"/>
        <d v="2024-11-22T00:00:00"/>
        <d v="2025-06-04T00:00:00"/>
        <d v="2025-05-28T00:00:00"/>
        <d v="2025-12-03T00:00:00"/>
        <d v="2025-06-24T00:00:00"/>
        <d v="2024-05-13T00:00:00"/>
        <d v="2024-02-27T00:00:00"/>
        <d v="2024-01-22T00:00:00"/>
        <d v="2025-04-25T00:00:00"/>
        <d v="2026-02-09T00:00:00"/>
        <d v="2025-04-16T00:00:00"/>
        <d v="2024-11-14T00:00:00"/>
        <d v="2025-06-11T00:00:00"/>
        <d v="2025-01-10T00:00:00"/>
        <d v="2025-03-23T00:00:00"/>
        <d v="2026-02-11T00:00:00"/>
        <d v="2024-11-12T00:00:00"/>
        <d v="2026-02-27T00:00:00"/>
        <d v="2026-01-12T00:00:00"/>
        <d v="2024-02-26T00:00:00"/>
        <d v="2024-03-23T00:00:00"/>
        <d v="2024-01-15T00:00:00"/>
        <d v="2025-07-14T00:00:00"/>
        <d v="2024-02-28T00:00:00"/>
        <d v="2024-09-18T00:00:00"/>
        <d v="2025-11-23T00:00:00"/>
        <d v="2025-10-29T00:00:00"/>
        <d v="2024-08-19T00:00:00"/>
        <d v="2024-04-06T00:00:00"/>
        <d v="2025-05-30T00:00:00"/>
        <d v="2025-08-25T00:00:00"/>
        <d v="2025-10-20T00:00:00"/>
        <d v="2025-09-07T00:00:00"/>
        <d v="2025-10-23T00:00:00"/>
        <d v="2026-03-23T00:00:00"/>
        <d v="2024-12-04T00:00:00"/>
        <d v="2024-11-01T00:00:00"/>
        <d v="2025-09-28T00:00:00"/>
        <d v="2024-10-06T00:00:00"/>
        <d v="2026-02-02T00:00:00"/>
        <d v="2025-12-04T00:00:00"/>
        <d v="2025-09-10T00:00:00"/>
      </sharedItems>
      <fieldGroup par="17"/>
    </cacheField>
    <cacheField name="Fecha_Salida" numFmtId="14">
      <sharedItems containsSemiMixedTypes="0" containsNonDate="0" containsDate="1" containsString="0" minDate="2024-01-09T00:00:00" maxDate="2026-04-08T00:00:00"/>
    </cacheField>
    <cacheField name="Estancia_Días" numFmtId="1">
      <sharedItems containsSemiMixedTypes="0" containsString="0" containsNumber="1" containsInteger="1" minValue="1" maxValue="20"/>
    </cacheField>
    <cacheField name="Diagnóstico_Principal" numFmtId="0">
      <sharedItems/>
    </cacheField>
    <cacheField name="Tipo_Tratamiento" numFmtId="0">
      <sharedItems count="5">
        <s v="Cirugía menor"/>
        <s v="Observación clínica"/>
        <s v="Farmacológico"/>
        <s v="Control preventivo"/>
        <s v="Fisioterapia"/>
      </sharedItems>
    </cacheField>
    <cacheField name="Área_Atención" numFmtId="0">
      <sharedItems count="3">
        <s v="Urgencias"/>
        <s v="Consulta externa"/>
        <s v="Hospitalización"/>
      </sharedItems>
    </cacheField>
    <cacheField name="Médico_Responsable" numFmtId="0">
      <sharedItems/>
    </cacheField>
    <cacheField name="Costo_Tratamiento" numFmtId="164">
      <sharedItems containsSemiMixedTypes="0" containsString="0" containsNumber="1" minValue="1553.8" maxValue="44803.4"/>
    </cacheField>
    <cacheField name="Forma_Pago" numFmtId="0">
      <sharedItems/>
    </cacheField>
    <cacheField name="Seguro_Médico" numFmtId="0">
      <sharedItems/>
    </cacheField>
    <cacheField name="Estado_Alta" numFmtId="0">
      <sharedItems/>
    </cacheField>
    <cacheField name="Meses (Fecha_Ingreso)" numFmtId="0" databaseField="0">
      <fieldGroup base="4">
        <rangePr groupBy="months" startDate="2024-01-05T00:00:00" endDate="2026-03-24T00:00:00"/>
        <groupItems count="14">
          <s v="&lt;5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4/03/2026"/>
        </groupItems>
      </fieldGroup>
    </cacheField>
    <cacheField name="Trimestres (Fecha_Ingreso)" numFmtId="0" databaseField="0">
      <fieldGroup base="4">
        <rangePr groupBy="quarters" startDate="2024-01-05T00:00:00" endDate="2026-03-24T00:00:00"/>
        <groupItems count="6">
          <s v="&lt;5/01/2024"/>
          <s v="Trim.1"/>
          <s v="Trim.2"/>
          <s v="Trim.3"/>
          <s v="Trim.4"/>
          <s v="&gt;24/03/2026"/>
        </groupItems>
      </fieldGroup>
    </cacheField>
    <cacheField name="Años (Fecha_Ingreso)" numFmtId="0" databaseField="0">
      <fieldGroup base="4">
        <rangePr groupBy="years" startDate="2024-01-05T00:00:00" endDate="2026-03-24T00:00:00"/>
        <groupItems count="5">
          <s v="&lt;5/01/2024"/>
          <s v="2024"/>
          <s v="2025"/>
          <s v="2026"/>
          <s v="&gt;24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Albeiro Gonzalez Mendez" refreshedDate="46279.624622453703" createdVersion="8" refreshedVersion="8" minRefreshableVersion="3" recordCount="200" xr:uid="{33E9401A-46A2-4B61-88CC-5742E48BE646}">
  <cacheSource type="worksheet">
    <worksheetSource ref="D1:O201" sheet="Pacientes_clinica_aprendiz (2)"/>
  </cacheSource>
  <cacheFields count="18">
    <cacheField name="Edad" numFmtId="0">
      <sharedItems containsSemiMixedTypes="0" containsString="0" containsNumber="1" containsInteger="1" minValue="17" maxValue="76"/>
    </cacheField>
    <cacheField name="Fecha_Ingreso" numFmtId="14">
      <sharedItems containsSemiMixedTypes="0" containsNonDate="0" containsDate="1" containsString="0" minDate="2024-01-05T00:00:00" maxDate="2026-03-24T00:00:00" count="178">
        <d v="2025-06-10T00:00:00"/>
        <d v="2024-03-09T00:00:00"/>
        <d v="2024-05-12T00:00:00"/>
        <d v="2026-01-06T00:00:00"/>
        <d v="2025-05-12T00:00:00"/>
        <d v="2024-01-08T00:00:00"/>
        <d v="2024-03-24T00:00:00"/>
        <d v="2025-06-28T00:00:00"/>
        <d v="2024-01-05T00:00:00"/>
        <d v="2024-05-11T00:00:00"/>
        <d v="2025-03-25T00:00:00"/>
        <d v="2025-07-21T00:00:00"/>
        <d v="2025-06-18T00:00:00"/>
        <d v="2024-07-02T00:00:00"/>
        <d v="2025-08-06T00:00:00"/>
        <d v="2024-07-13T00:00:00"/>
        <d v="2024-09-23T00:00:00"/>
        <d v="2025-09-04T00:00:00"/>
        <d v="2025-06-16T00:00:00"/>
        <d v="2025-11-27T00:00:00"/>
        <d v="2025-06-23T00:00:00"/>
        <d v="2025-04-11T00:00:00"/>
        <d v="2024-03-17T00:00:00"/>
        <d v="2024-10-28T00:00:00"/>
        <d v="2024-08-05T00:00:00"/>
        <d v="2024-07-19T00:00:00"/>
        <d v="2026-03-08T00:00:00"/>
        <d v="2024-11-18T00:00:00"/>
        <d v="2026-01-01T00:00:00"/>
        <d v="2025-06-01T00:00:00"/>
        <d v="2025-10-13T00:00:00"/>
        <d v="2025-02-16T00:00:00"/>
        <d v="2025-04-18T00:00:00"/>
        <d v="2025-02-07T00:00:00"/>
        <d v="2024-06-09T00:00:00"/>
        <d v="2025-08-15T00:00:00"/>
        <d v="2024-08-18T00:00:00"/>
        <d v="2024-01-20T00:00:00"/>
        <d v="2025-06-13T00:00:00"/>
        <d v="2024-05-25T00:00:00"/>
        <d v="2026-02-10T00:00:00"/>
        <d v="2026-02-21T00:00:00"/>
        <d v="2026-01-20T00:00:00"/>
        <d v="2024-10-30T00:00:00"/>
        <d v="2024-01-13T00:00:00"/>
        <d v="2026-01-31T00:00:00"/>
        <d v="2024-12-17T00:00:00"/>
        <d v="2026-03-03T00:00:00"/>
        <d v="2026-03-01T00:00:00"/>
        <d v="2025-11-30T00:00:00"/>
        <d v="2024-08-29T00:00:00"/>
        <d v="2024-11-11T00:00:00"/>
        <d v="2025-11-28T00:00:00"/>
        <d v="2024-09-16T00:00:00"/>
        <d v="2024-05-18T00:00:00"/>
        <d v="2025-04-01T00:00:00"/>
        <d v="2026-02-06T00:00:00"/>
        <d v="2025-07-24T00:00:00"/>
        <d v="2025-04-12T00:00:00"/>
        <d v="2024-03-20T00:00:00"/>
        <d v="2025-05-19T00:00:00"/>
        <d v="2026-03-22T00:00:00"/>
        <d v="2024-04-24T00:00:00"/>
        <d v="2025-03-01T00:00:00"/>
        <d v="2025-12-20T00:00:00"/>
        <d v="2025-08-30T00:00:00"/>
        <d v="2025-07-25T00:00:00"/>
        <d v="2025-07-30T00:00:00"/>
        <d v="2024-10-21T00:00:00"/>
        <d v="2024-08-28T00:00:00"/>
        <d v="2025-10-25T00:00:00"/>
        <d v="2025-10-26T00:00:00"/>
        <d v="2025-12-11T00:00:00"/>
        <d v="2026-01-18T00:00:00"/>
        <d v="2025-02-23T00:00:00"/>
        <d v="2025-02-15T00:00:00"/>
        <d v="2025-10-16T00:00:00"/>
        <d v="2025-07-29T00:00:00"/>
        <d v="2025-10-14T00:00:00"/>
        <d v="2025-12-30T00:00:00"/>
        <d v="2024-10-04T00:00:00"/>
        <d v="2024-11-03T00:00:00"/>
        <d v="2024-03-18T00:00:00"/>
        <d v="2025-04-19T00:00:00"/>
        <d v="2024-01-30T00:00:00"/>
        <d v="2025-01-16T00:00:00"/>
        <d v="2025-03-20T00:00:00"/>
        <d v="2024-08-22T00:00:00"/>
        <d v="2025-04-29T00:00:00"/>
        <d v="2024-01-26T00:00:00"/>
        <d v="2024-01-31T00:00:00"/>
        <d v="2025-11-05T00:00:00"/>
        <d v="2024-10-22T00:00:00"/>
        <d v="2024-04-14T00:00:00"/>
        <d v="2025-03-04T00:00:00"/>
        <d v="2025-09-23T00:00:00"/>
        <d v="2024-06-25T00:00:00"/>
        <d v="2025-05-25T00:00:00"/>
        <d v="2024-03-10T00:00:00"/>
        <d v="2024-02-12T00:00:00"/>
        <d v="2025-03-11T00:00:00"/>
        <d v="2025-03-19T00:00:00"/>
        <d v="2025-06-06T00:00:00"/>
        <d v="2025-08-18T00:00:00"/>
        <d v="2026-03-11T00:00:00"/>
        <d v="2025-02-27T00:00:00"/>
        <d v="2024-09-21T00:00:00"/>
        <d v="2024-08-10T00:00:00"/>
        <d v="2024-12-25T00:00:00"/>
        <d v="2024-03-05T00:00:00"/>
        <d v="2024-01-21T00:00:00"/>
        <d v="2026-02-28T00:00:00"/>
        <d v="2025-11-16T00:00:00"/>
        <d v="2024-12-01T00:00:00"/>
        <d v="2024-05-22T00:00:00"/>
        <d v="2024-05-08T00:00:00"/>
        <d v="2024-07-24T00:00:00"/>
        <d v="2025-03-26T00:00:00"/>
        <d v="2025-08-08T00:00:00"/>
        <d v="2025-06-25T00:00:00"/>
        <d v="2024-08-17T00:00:00"/>
        <d v="2025-08-28T00:00:00"/>
        <d v="2025-03-30T00:00:00"/>
        <d v="2025-05-16T00:00:00"/>
        <d v="2024-12-10T00:00:00"/>
        <d v="2024-07-22T00:00:00"/>
        <d v="2024-10-18T00:00:00"/>
        <d v="2025-09-13T00:00:00"/>
        <d v="2024-01-12T00:00:00"/>
        <d v="2024-04-05T00:00:00"/>
        <d v="2024-02-07T00:00:00"/>
        <d v="2024-02-03T00:00:00"/>
        <d v="2025-12-02T00:00:00"/>
        <d v="2025-01-23T00:00:00"/>
        <d v="2024-03-21T00:00:00"/>
        <d v="2024-12-21T00:00:00"/>
        <d v="2024-11-22T00:00:00"/>
        <d v="2025-06-04T00:00:00"/>
        <d v="2025-05-28T00:00:00"/>
        <d v="2025-12-03T00:00:00"/>
        <d v="2025-06-24T00:00:00"/>
        <d v="2024-05-13T00:00:00"/>
        <d v="2024-02-27T00:00:00"/>
        <d v="2024-01-22T00:00:00"/>
        <d v="2025-04-25T00:00:00"/>
        <d v="2026-02-09T00:00:00"/>
        <d v="2025-04-16T00:00:00"/>
        <d v="2024-11-14T00:00:00"/>
        <d v="2025-06-11T00:00:00"/>
        <d v="2025-01-10T00:00:00"/>
        <d v="2025-03-23T00:00:00"/>
        <d v="2026-02-11T00:00:00"/>
        <d v="2024-11-12T00:00:00"/>
        <d v="2026-02-27T00:00:00"/>
        <d v="2026-01-12T00:00:00"/>
        <d v="2024-02-26T00:00:00"/>
        <d v="2024-03-23T00:00:00"/>
        <d v="2024-01-15T00:00:00"/>
        <d v="2025-07-14T00:00:00"/>
        <d v="2024-02-28T00:00:00"/>
        <d v="2024-09-18T00:00:00"/>
        <d v="2025-11-23T00:00:00"/>
        <d v="2025-10-29T00:00:00"/>
        <d v="2024-08-19T00:00:00"/>
        <d v="2024-04-06T00:00:00"/>
        <d v="2025-05-30T00:00:00"/>
        <d v="2025-08-25T00:00:00"/>
        <d v="2025-10-20T00:00:00"/>
        <d v="2025-09-07T00:00:00"/>
        <d v="2025-10-23T00:00:00"/>
        <d v="2026-03-23T00:00:00"/>
        <d v="2024-12-04T00:00:00"/>
        <d v="2024-11-01T00:00:00"/>
        <d v="2025-09-28T00:00:00"/>
        <d v="2024-10-06T00:00:00"/>
        <d v="2026-02-02T00:00:00"/>
        <d v="2025-12-04T00:00:00"/>
        <d v="2025-09-10T00:00:00"/>
      </sharedItems>
      <fieldGroup par="17"/>
    </cacheField>
    <cacheField name="Fecha_Salida" numFmtId="14">
      <sharedItems containsSemiMixedTypes="0" containsNonDate="0" containsDate="1" containsString="0" minDate="2024-01-09T00:00:00" maxDate="2026-04-08T00:00:00" count="179">
        <d v="2025-06-19T00:00:00"/>
        <d v="2024-03-26T00:00:00"/>
        <d v="2024-05-29T00:00:00"/>
        <d v="2026-01-26T00:00:00"/>
        <d v="2025-05-28T00:00:00"/>
        <d v="2024-01-21T00:00:00"/>
        <d v="2024-04-12T00:00:00"/>
        <d v="2025-07-15T00:00:00"/>
        <d v="2024-01-09T00:00:00"/>
        <d v="2024-05-23T00:00:00"/>
        <d v="2025-04-03T00:00:00"/>
        <d v="2025-08-09T00:00:00"/>
        <d v="2025-06-30T00:00:00"/>
        <d v="2024-07-11T00:00:00"/>
        <d v="2025-08-13T00:00:00"/>
        <d v="2024-07-27T00:00:00"/>
        <d v="2024-10-13T00:00:00"/>
        <d v="2025-09-23T00:00:00"/>
        <d v="2025-07-01T00:00:00"/>
        <d v="2025-12-13T00:00:00"/>
        <d v="2025-06-28T00:00:00"/>
        <d v="2025-04-14T00:00:00"/>
        <d v="2024-03-29T00:00:00"/>
        <d v="2024-11-17T00:00:00"/>
        <d v="2024-08-09T00:00:00"/>
        <d v="2024-08-04T00:00:00"/>
        <d v="2026-03-15T00:00:00"/>
        <d v="2024-12-01T00:00:00"/>
        <d v="2026-01-11T00:00:00"/>
        <d v="2025-06-08T00:00:00"/>
        <d v="2025-10-27T00:00:00"/>
        <d v="2025-02-21T00:00:00"/>
        <d v="2025-04-21T00:00:00"/>
        <d v="2025-02-18T00:00:00"/>
        <d v="2024-06-20T00:00:00"/>
        <d v="2025-09-02T00:00:00"/>
        <d v="2024-09-02T00:00:00"/>
        <d v="2024-02-01T00:00:00"/>
        <d v="2025-06-22T00:00:00"/>
        <d v="2024-06-04T00:00:00"/>
        <d v="2026-02-22T00:00:00"/>
        <d v="2026-03-10T00:00:00"/>
        <d v="2024-11-06T00:00:00"/>
        <d v="2024-01-27T00:00:00"/>
        <d v="2026-02-13T00:00:00"/>
        <d v="2024-12-25T00:00:00"/>
        <d v="2026-03-13T00:00:00"/>
        <d v="2025-12-18T00:00:00"/>
        <d v="2024-08-31T00:00:00"/>
        <d v="2024-11-16T00:00:00"/>
        <d v="2025-12-03T00:00:00"/>
        <d v="2024-09-22T00:00:00"/>
        <d v="2024-06-06T00:00:00"/>
        <d v="2025-04-09T00:00:00"/>
        <d v="2025-08-06T00:00:00"/>
        <d v="2025-04-13T00:00:00"/>
        <d v="2024-04-09T00:00:00"/>
        <d v="2025-06-05T00:00:00"/>
        <d v="2026-03-29T00:00:00"/>
        <d v="2024-05-07T00:00:00"/>
        <d v="2025-03-05T00:00:00"/>
        <d v="2025-12-24T00:00:00"/>
        <d v="2025-09-05T00:00:00"/>
        <d v="2025-08-11T00:00:00"/>
        <d v="2024-10-28T00:00:00"/>
        <d v="2024-09-07T00:00:00"/>
        <d v="2025-11-13T00:00:00"/>
        <d v="2025-11-02T00:00:00"/>
        <d v="2025-12-14T00:00:00"/>
        <d v="2026-01-31T00:00:00"/>
        <d v="2025-03-08T00:00:00"/>
        <d v="2025-11-05T00:00:00"/>
        <d v="2025-06-24T00:00:00"/>
        <d v="2025-08-07T00:00:00"/>
        <d v="2025-10-21T00:00:00"/>
        <d v="2025-12-31T00:00:00"/>
        <d v="2024-10-07T00:00:00"/>
        <d v="2024-04-04T00:00:00"/>
        <d v="2025-04-20T00:00:00"/>
        <d v="2024-02-05T00:00:00"/>
        <d v="2025-01-22T00:00:00"/>
        <d v="2025-04-01T00:00:00"/>
        <d v="2024-09-04T00:00:00"/>
        <d v="2025-05-12T00:00:00"/>
        <d v="2024-02-10T00:00:00"/>
        <d v="2024-02-16T00:00:00"/>
        <d v="2025-11-16T00:00:00"/>
        <d v="2024-10-27T00:00:00"/>
        <d v="2024-04-18T00:00:00"/>
        <d v="2025-03-07T00:00:00"/>
        <d v="2025-10-12T00:00:00"/>
        <d v="2024-07-15T00:00:00"/>
        <d v="2025-06-12T00:00:00"/>
        <d v="2024-03-25T00:00:00"/>
        <d v="2024-02-21T00:00:00"/>
        <d v="2025-03-28T00:00:00"/>
        <d v="2025-04-02T00:00:00"/>
        <d v="2025-06-21T00:00:00"/>
        <d v="2025-08-19T00:00:00"/>
        <d v="2026-03-14T00:00:00"/>
        <d v="2025-03-15T00:00:00"/>
        <d v="2024-10-02T00:00:00"/>
        <d v="2025-10-26T00:00:00"/>
        <d v="2024-08-20T00:00:00"/>
        <d v="2025-01-10T00:00:00"/>
        <d v="2024-03-13T00:00:00"/>
        <d v="2026-03-12T00:00:00"/>
        <d v="2025-11-24T00:00:00"/>
        <d v="2025-07-28T00:00:00"/>
        <d v="2024-12-09T00:00:00"/>
        <d v="2024-06-09T00:00:00"/>
        <d v="2024-05-13T00:00:00"/>
        <d v="2024-08-02T00:00:00"/>
        <d v="2025-03-30T00:00:00"/>
        <d v="2025-08-25T00:00:00"/>
        <d v="2025-07-04T00:00:00"/>
        <d v="2024-08-18T00:00:00"/>
        <d v="2025-09-10T00:00:00"/>
        <d v="2025-04-15T00:00:00"/>
        <d v="2025-05-29T00:00:00"/>
        <d v="2024-12-24T00:00:00"/>
        <d v="2024-07-25T00:00:00"/>
        <d v="2024-10-24T00:00:00"/>
        <d v="2025-10-01T00:00:00"/>
        <d v="2024-01-31T00:00:00"/>
        <d v="2024-04-10T00:00:00"/>
        <d v="2024-02-22T00:00:00"/>
        <d v="2025-12-12T00:00:00"/>
        <d v="2025-08-17T00:00:00"/>
        <d v="2025-02-05T00:00:00"/>
        <d v="2025-02-08T00:00:00"/>
        <d v="2025-01-24T00:00:00"/>
        <d v="2025-01-05T00:00:00"/>
        <d v="2025-05-30T00:00:00"/>
        <d v="2024-02-20T00:00:00"/>
        <d v="2024-11-04T00:00:00"/>
        <d v="2025-02-25T00:00:00"/>
        <d v="2025-12-06T00:00:00"/>
        <d v="2025-06-25T00:00:00"/>
        <d v="2024-03-04T00:00:00"/>
        <d v="2025-06-27T00:00:00"/>
        <d v="2025-04-30T00:00:00"/>
        <d v="2026-02-15T00:00:00"/>
        <d v="2025-04-19T00:00:00"/>
        <d v="2024-11-19T00:00:00"/>
        <d v="2025-06-16T00:00:00"/>
        <d v="2025-01-20T00:00:00"/>
        <d v="2026-03-02T00:00:00"/>
        <d v="2024-11-29T00:00:00"/>
        <d v="2026-01-21T00:00:00"/>
        <d v="2024-06-23T00:00:00"/>
        <d v="2024-02-27T00:00:00"/>
        <d v="2024-04-11T00:00:00"/>
        <d v="2024-01-28T00:00:00"/>
        <d v="2024-03-31T00:00:00"/>
        <d v="2025-07-18T00:00:00"/>
        <d v="2024-02-29T00:00:00"/>
        <d v="2024-10-05T00:00:00"/>
        <d v="2025-12-01T00:00:00"/>
        <d v="2024-01-22T00:00:00"/>
        <d v="2025-11-06T00:00:00"/>
        <d v="2024-08-26T00:00:00"/>
        <d v="2024-04-08T00:00:00"/>
        <d v="2025-06-17T00:00:00"/>
        <d v="2026-01-01T00:00:00"/>
        <d v="2025-08-26T00:00:00"/>
        <d v="2025-11-01T00:00:00"/>
        <d v="2024-08-24T00:00:00"/>
        <d v="2024-06-11T00:00:00"/>
        <d v="2025-11-07T00:00:00"/>
        <d v="2026-04-07T00:00:00"/>
        <d v="2024-11-15T00:00:00"/>
        <d v="2025-09-30T00:00:00"/>
        <d v="2024-10-17T00:00:00"/>
        <d v="2026-02-21T00:00:00"/>
        <d v="2025-12-11T00:00:00"/>
        <d v="2024-12-23T00:00:00"/>
        <d v="2025-09-09T00:00:00"/>
        <d v="2025-09-16T00:00:00"/>
      </sharedItems>
      <fieldGroup par="14"/>
    </cacheField>
    <cacheField name="Estancia_Días" numFmtId="1">
      <sharedItems containsSemiMixedTypes="0" containsString="0" containsNumber="1" containsInteger="1" minValue="1" maxValue="20"/>
    </cacheField>
    <cacheField name="Diagnóstico_Principal" numFmtId="0">
      <sharedItems count="5">
        <s v="Chequeo general"/>
        <s v="Lesión musculoesquelética"/>
        <s v="Infección respiratoria"/>
        <s v="Hipertensión"/>
        <s v="Diabetes"/>
      </sharedItems>
    </cacheField>
    <cacheField name="Tipo_Tratamiento" numFmtId="0">
      <sharedItems count="5">
        <s v="Cirugía menor"/>
        <s v="Observación clínica"/>
        <s v="Farmacológico"/>
        <s v="Control preventivo"/>
        <s v="Fisioterapia"/>
      </sharedItems>
    </cacheField>
    <cacheField name="Área_Atención" numFmtId="0">
      <sharedItems count="3">
        <s v="Urgencias"/>
        <s v="Consulta externa"/>
        <s v="Hospitalización"/>
      </sharedItems>
    </cacheField>
    <cacheField name="Médico_Responsable" numFmtId="0">
      <sharedItems count="4">
        <s v="Dr. Gómez"/>
        <s v="Dra. Martínez"/>
        <s v="Dr. López"/>
        <s v="Dra. Hernández"/>
      </sharedItems>
    </cacheField>
    <cacheField name="Costo_Tratamiento" numFmtId="164">
      <sharedItems containsSemiMixedTypes="0" containsString="0" containsNumber="1" minValue="1553.8" maxValue="44803.4" count="200">
        <n v="42428.08"/>
        <n v="37467.49"/>
        <n v="30513.26"/>
        <n v="26607.56"/>
        <n v="16662.95"/>
        <n v="8429"/>
        <n v="27815.5"/>
        <n v="15337.85"/>
        <n v="39190.080000000002"/>
        <n v="44710.16"/>
        <n v="34230.61"/>
        <n v="5435.95"/>
        <n v="14057.82"/>
        <n v="6246.27"/>
        <n v="29797.26"/>
        <n v="34785.800000000003"/>
        <n v="41766.86"/>
        <n v="20560.5"/>
        <n v="40709.839999999997"/>
        <n v="39688.269999999997"/>
        <n v="15298.01"/>
        <n v="39297.18"/>
        <n v="17841.740000000002"/>
        <n v="14413.81"/>
        <n v="29734.75"/>
        <n v="15784.58"/>
        <n v="28914.080000000002"/>
        <n v="28027.68"/>
        <n v="26009.59"/>
        <n v="18048.259999999998"/>
        <n v="25359.74"/>
        <n v="27447.119999999999"/>
        <n v="25237.38"/>
        <n v="20832.25"/>
        <n v="2138.02"/>
        <n v="27037.18"/>
        <n v="8827.33"/>
        <n v="29452.05"/>
        <n v="34531.480000000003"/>
        <n v="23269.37"/>
        <n v="25092.82"/>
        <n v="42889.32"/>
        <n v="38351.78"/>
        <n v="41269.29"/>
        <n v="36898.83"/>
        <n v="6237.95"/>
        <n v="7981.15"/>
        <n v="24408.14"/>
        <n v="12204.03"/>
        <n v="22236.25"/>
        <n v="18654.89"/>
        <n v="25399.52"/>
        <n v="33989.089999999997"/>
        <n v="32623.85"/>
        <n v="24173.68"/>
        <n v="37274.11"/>
        <n v="20242.5"/>
        <n v="40507.07"/>
        <n v="4600.6899999999996"/>
        <n v="43027.71"/>
        <n v="29979.15"/>
        <n v="18033.240000000002"/>
        <n v="10076.200000000001"/>
        <n v="22344.47"/>
        <n v="9963.2900000000009"/>
        <n v="8735.42"/>
        <n v="28354.799999999999"/>
        <n v="24254.19"/>
        <n v="30649.18"/>
        <n v="41937.86"/>
        <n v="24653.32"/>
        <n v="26770.54"/>
        <n v="5398.75"/>
        <n v="32717.16"/>
        <n v="18895.88"/>
        <n v="43987.55"/>
        <n v="37308.07"/>
        <n v="24227.93"/>
        <n v="6860.19"/>
        <n v="38884.589999999997"/>
        <n v="36290.480000000003"/>
        <n v="9529.4500000000007"/>
        <n v="14344.61"/>
        <n v="36013.22"/>
        <n v="9557.44"/>
        <n v="41422.230000000003"/>
        <n v="19966.939999999999"/>
        <n v="5286.19"/>
        <n v="36985.07"/>
        <n v="17747.669999999998"/>
        <n v="24402.71"/>
        <n v="6385.24"/>
        <n v="1612.4"/>
        <n v="29252.36"/>
        <n v="23910.12"/>
        <n v="27318.93"/>
        <n v="36027.86"/>
        <n v="29627.360000000001"/>
        <n v="9102.64"/>
        <n v="17193.599999999999"/>
        <n v="40906.26"/>
        <n v="34992.589999999997"/>
        <n v="25713.71"/>
        <n v="12620.56"/>
        <n v="14639.63"/>
        <n v="33340.18"/>
        <n v="38526.080000000002"/>
        <n v="30706.97"/>
        <n v="36714.550000000003"/>
        <n v="34849.54"/>
        <n v="8012.12"/>
        <n v="19941.599999999999"/>
        <n v="8154.8"/>
        <n v="11732.75"/>
        <n v="39312.79"/>
        <n v="22070.799999999999"/>
        <n v="24788.080000000002"/>
        <n v="9262.4"/>
        <n v="15083.82"/>
        <n v="11515.71"/>
        <n v="10469.1"/>
        <n v="29251.29"/>
        <n v="12674.45"/>
        <n v="28992.67"/>
        <n v="4042.78"/>
        <n v="7667.19"/>
        <n v="13442.5"/>
        <n v="27471.54"/>
        <n v="30899.09"/>
        <n v="20758.189999999999"/>
        <n v="20891.900000000001"/>
        <n v="33016.480000000003"/>
        <n v="2188.2199999999998"/>
        <n v="16337.42"/>
        <n v="37113.760000000002"/>
        <n v="27740.04"/>
        <n v="16169.38"/>
        <n v="40890.33"/>
        <n v="35109.089999999997"/>
        <n v="13022.95"/>
        <n v="29570.11"/>
        <n v="27415.16"/>
        <n v="18951.669999999998"/>
        <n v="17462.59"/>
        <n v="16444.88"/>
        <n v="28346.28"/>
        <n v="20744.830000000002"/>
        <n v="37686.050000000003"/>
        <n v="30627.71"/>
        <n v="4542.0200000000004"/>
        <n v="29347.32"/>
        <n v="13294.91"/>
        <n v="27287.32"/>
        <n v="31085.74"/>
        <n v="11541.07"/>
        <n v="21373.35"/>
        <n v="9779.1299999999992"/>
        <n v="3776.74"/>
        <n v="17963.72"/>
        <n v="17288.080000000002"/>
        <n v="44803.4"/>
        <n v="20916.330000000002"/>
        <n v="16010.28"/>
        <n v="26750.66"/>
        <n v="5361.38"/>
        <n v="43332.46"/>
        <n v="29120.76"/>
        <n v="34335.449999999997"/>
        <n v="8915.7900000000009"/>
        <n v="19312.29"/>
        <n v="19886.98"/>
        <n v="37248.58"/>
        <n v="1553.8"/>
        <n v="14587.11"/>
        <n v="44183.78"/>
        <n v="22157.56"/>
        <n v="18139.89"/>
        <n v="6712.56"/>
        <n v="43876.160000000003"/>
        <n v="2371.15"/>
        <n v="33567.339999999997"/>
        <n v="34934.089999999997"/>
        <n v="12099.07"/>
        <n v="30712.79"/>
        <n v="5542.42"/>
        <n v="12681.56"/>
        <n v="35773.74"/>
        <n v="39113.85"/>
        <n v="27969.16"/>
        <n v="23547.47"/>
        <n v="8429.7199999999993"/>
        <n v="4245.24"/>
        <n v="6617.73"/>
        <n v="11390.04"/>
        <n v="16362.84"/>
        <n v="18069.560000000001"/>
        <n v="16565"/>
        <n v="11898.91"/>
        <n v="23673"/>
        <n v="37399.949999999997"/>
      </sharedItems>
    </cacheField>
    <cacheField name="Forma_Pago" numFmtId="0">
      <sharedItems count="3">
        <s v="Seguro"/>
        <s v="Efectivo"/>
        <s v="Tarjeta"/>
      </sharedItems>
    </cacheField>
    <cacheField name="Seguro_Médico" numFmtId="0">
      <sharedItems count="2">
        <s v="Sí"/>
        <s v="No"/>
      </sharedItems>
    </cacheField>
    <cacheField name="Estado_Alta" numFmtId="0">
      <sharedItems count="2">
        <s v="Alta médica"/>
        <s v="Referencia externa"/>
      </sharedItems>
    </cacheField>
    <cacheField name="Meses (Fecha_Salida)" numFmtId="0" databaseField="0">
      <fieldGroup base="2">
        <rangePr groupBy="months" startDate="2024-01-09T00:00:00" endDate="2026-04-08T00:00:00"/>
        <groupItems count="14">
          <s v="&lt;9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8/04/2026"/>
        </groupItems>
      </fieldGroup>
    </cacheField>
    <cacheField name="Trimestres (Fecha_Salida)" numFmtId="0" databaseField="0">
      <fieldGroup base="2">
        <rangePr groupBy="quarters" startDate="2024-01-09T00:00:00" endDate="2026-04-08T00:00:00"/>
        <groupItems count="6">
          <s v="&lt;9/01/2024"/>
          <s v="Trim.1"/>
          <s v="Trim.2"/>
          <s v="Trim.3"/>
          <s v="Trim.4"/>
          <s v="&gt;8/04/2026"/>
        </groupItems>
      </fieldGroup>
    </cacheField>
    <cacheField name="Años (Fecha_Salida)" numFmtId="0" databaseField="0">
      <fieldGroup base="2">
        <rangePr groupBy="years" startDate="2024-01-09T00:00:00" endDate="2026-04-08T00:00:00"/>
        <groupItems count="5">
          <s v="&lt;9/01/2024"/>
          <s v="2024"/>
          <s v="2025"/>
          <s v="2026"/>
          <s v="&gt;8/04/2026"/>
        </groupItems>
      </fieldGroup>
    </cacheField>
    <cacheField name="Meses (Fecha_Ingreso)" numFmtId="0" databaseField="0">
      <fieldGroup base="1">
        <rangePr groupBy="months" startDate="2024-01-05T00:00:00" endDate="2026-03-24T00:00:00"/>
        <groupItems count="14">
          <s v="&lt;5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4/03/2026"/>
        </groupItems>
      </fieldGroup>
    </cacheField>
    <cacheField name="Trimestres (Fecha_Ingreso)" numFmtId="0" databaseField="0">
      <fieldGroup base="1">
        <rangePr groupBy="quarters" startDate="2024-01-05T00:00:00" endDate="2026-03-24T00:00:00"/>
        <groupItems count="6">
          <s v="&lt;5/01/2024"/>
          <s v="Trim.1"/>
          <s v="Trim.2"/>
          <s v="Trim.3"/>
          <s v="Trim.4"/>
          <s v="&gt;24/03/2026"/>
        </groupItems>
      </fieldGroup>
    </cacheField>
    <cacheField name="Años (Fecha_Ingreso)" numFmtId="0" databaseField="0">
      <fieldGroup base="1">
        <rangePr groupBy="years" startDate="2024-01-05T00:00:00" endDate="2026-03-24T00:00:00"/>
        <groupItems count="5">
          <s v="&lt;5/01/2024"/>
          <s v="2024"/>
          <s v="2025"/>
          <s v="2026"/>
          <s v="&gt;24/03/2026"/>
        </groupItems>
      </fieldGroup>
    </cacheField>
  </cacheFields>
  <extLst>
    <ext xmlns:x14="http://schemas.microsoft.com/office/spreadsheetml/2009/9/main" uri="{725AE2AE-9491-48be-B2B4-4EB974FC3084}">
      <x14:pivotCacheDefinition pivotCacheId="16746318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1972-11-05T00:00:00"/>
    <n v="54"/>
    <x v="0"/>
    <d v="2025-06-19T00:00:00"/>
    <x v="0"/>
    <x v="0"/>
    <x v="0"/>
    <x v="0"/>
    <x v="0"/>
    <x v="0"/>
    <x v="0"/>
    <x v="0"/>
    <x v="0"/>
  </r>
  <r>
    <d v="2007-12-28T00:00:00"/>
    <n v="19"/>
    <x v="1"/>
    <d v="2024-03-26T00:00:00"/>
    <x v="1"/>
    <x v="1"/>
    <x v="1"/>
    <x v="1"/>
    <x v="0"/>
    <x v="1"/>
    <x v="1"/>
    <x v="1"/>
    <x v="0"/>
  </r>
  <r>
    <d v="1994-08-26T00:00:00"/>
    <n v="32"/>
    <x v="2"/>
    <d v="2024-05-29T00:00:00"/>
    <x v="1"/>
    <x v="2"/>
    <x v="0"/>
    <x v="0"/>
    <x v="0"/>
    <x v="2"/>
    <x v="2"/>
    <x v="1"/>
    <x v="1"/>
  </r>
  <r>
    <d v="1986-07-08T00:00:00"/>
    <n v="40"/>
    <x v="3"/>
    <d v="2026-01-26T00:00:00"/>
    <x v="2"/>
    <x v="3"/>
    <x v="0"/>
    <x v="2"/>
    <x v="1"/>
    <x v="3"/>
    <x v="1"/>
    <x v="1"/>
    <x v="1"/>
  </r>
  <r>
    <d v="1959-07-08T00:00:00"/>
    <n v="67"/>
    <x v="4"/>
    <d v="2025-05-28T00:00:00"/>
    <x v="3"/>
    <x v="2"/>
    <x v="2"/>
    <x v="1"/>
    <x v="2"/>
    <x v="4"/>
    <x v="1"/>
    <x v="1"/>
    <x v="0"/>
  </r>
  <r>
    <d v="1959-07-08T00:00:00"/>
    <n v="67"/>
    <x v="5"/>
    <d v="2024-01-21T00:00:00"/>
    <x v="4"/>
    <x v="2"/>
    <x v="1"/>
    <x v="0"/>
    <x v="3"/>
    <x v="5"/>
    <x v="0"/>
    <x v="0"/>
    <x v="1"/>
  </r>
  <r>
    <d v="1953-07-18T00:00:00"/>
    <n v="73"/>
    <x v="6"/>
    <d v="2024-04-12T00:00:00"/>
    <x v="5"/>
    <x v="0"/>
    <x v="3"/>
    <x v="1"/>
    <x v="3"/>
    <x v="6"/>
    <x v="1"/>
    <x v="1"/>
    <x v="0"/>
  </r>
  <r>
    <d v="2002-11-01T00:00:00"/>
    <n v="24"/>
    <x v="7"/>
    <d v="2025-07-15T00:00:00"/>
    <x v="1"/>
    <x v="1"/>
    <x v="2"/>
    <x v="2"/>
    <x v="0"/>
    <x v="7"/>
    <x v="0"/>
    <x v="0"/>
    <x v="0"/>
  </r>
  <r>
    <d v="1986-09-01T00:00:00"/>
    <n v="40"/>
    <x v="8"/>
    <d v="2024-01-09T00:00:00"/>
    <x v="6"/>
    <x v="4"/>
    <x v="2"/>
    <x v="2"/>
    <x v="1"/>
    <x v="8"/>
    <x v="2"/>
    <x v="1"/>
    <x v="1"/>
  </r>
  <r>
    <d v="1993-03-11T00:00:00"/>
    <n v="34"/>
    <x v="9"/>
    <d v="2024-05-23T00:00:00"/>
    <x v="7"/>
    <x v="1"/>
    <x v="3"/>
    <x v="0"/>
    <x v="1"/>
    <x v="9"/>
    <x v="0"/>
    <x v="0"/>
    <x v="1"/>
  </r>
  <r>
    <d v="1951-04-04T00:00:00"/>
    <n v="75"/>
    <x v="10"/>
    <d v="2025-04-03T00:00:00"/>
    <x v="0"/>
    <x v="1"/>
    <x v="0"/>
    <x v="2"/>
    <x v="1"/>
    <x v="10"/>
    <x v="1"/>
    <x v="1"/>
    <x v="0"/>
  </r>
  <r>
    <d v="2009-02-28T00:00:00"/>
    <n v="18"/>
    <x v="11"/>
    <d v="2025-08-09T00:00:00"/>
    <x v="5"/>
    <x v="2"/>
    <x v="4"/>
    <x v="1"/>
    <x v="3"/>
    <x v="11"/>
    <x v="1"/>
    <x v="1"/>
    <x v="0"/>
  </r>
  <r>
    <d v="2000-10-10T00:00:00"/>
    <n v="26"/>
    <x v="12"/>
    <d v="2025-06-30T00:00:00"/>
    <x v="7"/>
    <x v="1"/>
    <x v="1"/>
    <x v="2"/>
    <x v="0"/>
    <x v="12"/>
    <x v="0"/>
    <x v="0"/>
    <x v="0"/>
  </r>
  <r>
    <d v="1962-12-14T00:00:00"/>
    <n v="64"/>
    <x v="13"/>
    <d v="2024-07-11T00:00:00"/>
    <x v="0"/>
    <x v="3"/>
    <x v="4"/>
    <x v="1"/>
    <x v="2"/>
    <x v="13"/>
    <x v="0"/>
    <x v="0"/>
    <x v="0"/>
  </r>
  <r>
    <d v="1961-02-02T00:00:00"/>
    <n v="66"/>
    <x v="14"/>
    <d v="2025-08-13T00:00:00"/>
    <x v="8"/>
    <x v="2"/>
    <x v="3"/>
    <x v="1"/>
    <x v="3"/>
    <x v="14"/>
    <x v="1"/>
    <x v="1"/>
    <x v="1"/>
  </r>
  <r>
    <d v="1961-03-10T00:00:00"/>
    <n v="66"/>
    <x v="15"/>
    <d v="2024-07-27T00:00:00"/>
    <x v="9"/>
    <x v="3"/>
    <x v="2"/>
    <x v="2"/>
    <x v="0"/>
    <x v="15"/>
    <x v="2"/>
    <x v="1"/>
    <x v="1"/>
  </r>
  <r>
    <d v="1968-07-23T00:00:00"/>
    <n v="58"/>
    <x v="16"/>
    <d v="2024-10-13T00:00:00"/>
    <x v="2"/>
    <x v="4"/>
    <x v="2"/>
    <x v="0"/>
    <x v="0"/>
    <x v="16"/>
    <x v="2"/>
    <x v="1"/>
    <x v="1"/>
  </r>
  <r>
    <d v="1982-01-04T00:00:00"/>
    <n v="45"/>
    <x v="17"/>
    <d v="2025-09-23T00:00:00"/>
    <x v="5"/>
    <x v="2"/>
    <x v="1"/>
    <x v="2"/>
    <x v="2"/>
    <x v="17"/>
    <x v="0"/>
    <x v="0"/>
    <x v="1"/>
  </r>
  <r>
    <d v="1976-05-07T00:00:00"/>
    <n v="50"/>
    <x v="18"/>
    <d v="2025-07-01T00:00:00"/>
    <x v="10"/>
    <x v="4"/>
    <x v="2"/>
    <x v="1"/>
    <x v="2"/>
    <x v="18"/>
    <x v="2"/>
    <x v="1"/>
    <x v="1"/>
  </r>
  <r>
    <d v="1967-10-07T00:00:00"/>
    <n v="59"/>
    <x v="19"/>
    <d v="2025-12-13T00:00:00"/>
    <x v="3"/>
    <x v="2"/>
    <x v="2"/>
    <x v="1"/>
    <x v="2"/>
    <x v="19"/>
    <x v="1"/>
    <x v="1"/>
    <x v="0"/>
  </r>
  <r>
    <d v="1987-04-28T00:00:00"/>
    <n v="39"/>
    <x v="20"/>
    <d v="2025-06-28T00:00:00"/>
    <x v="11"/>
    <x v="0"/>
    <x v="1"/>
    <x v="2"/>
    <x v="1"/>
    <x v="20"/>
    <x v="0"/>
    <x v="0"/>
    <x v="1"/>
  </r>
  <r>
    <d v="1958-07-05T00:00:00"/>
    <n v="68"/>
    <x v="21"/>
    <d v="2025-04-14T00:00:00"/>
    <x v="12"/>
    <x v="1"/>
    <x v="1"/>
    <x v="0"/>
    <x v="2"/>
    <x v="21"/>
    <x v="1"/>
    <x v="1"/>
    <x v="1"/>
  </r>
  <r>
    <d v="1967-10-27T00:00:00"/>
    <n v="59"/>
    <x v="22"/>
    <d v="2024-03-29T00:00:00"/>
    <x v="7"/>
    <x v="0"/>
    <x v="3"/>
    <x v="0"/>
    <x v="0"/>
    <x v="22"/>
    <x v="1"/>
    <x v="1"/>
    <x v="1"/>
  </r>
  <r>
    <d v="1972-05-07T00:00:00"/>
    <n v="54"/>
    <x v="23"/>
    <d v="2024-11-17T00:00:00"/>
    <x v="2"/>
    <x v="4"/>
    <x v="2"/>
    <x v="1"/>
    <x v="2"/>
    <x v="23"/>
    <x v="2"/>
    <x v="1"/>
    <x v="1"/>
  </r>
  <r>
    <d v="1977-10-26T00:00:00"/>
    <n v="49"/>
    <x v="24"/>
    <d v="2024-08-09T00:00:00"/>
    <x v="6"/>
    <x v="1"/>
    <x v="2"/>
    <x v="1"/>
    <x v="0"/>
    <x v="24"/>
    <x v="0"/>
    <x v="0"/>
    <x v="1"/>
  </r>
  <r>
    <d v="1997-11-22T00:00:00"/>
    <n v="29"/>
    <x v="25"/>
    <d v="2024-08-04T00:00:00"/>
    <x v="3"/>
    <x v="2"/>
    <x v="3"/>
    <x v="0"/>
    <x v="3"/>
    <x v="25"/>
    <x v="0"/>
    <x v="0"/>
    <x v="0"/>
  </r>
  <r>
    <d v="1962-03-07T00:00:00"/>
    <n v="65"/>
    <x v="26"/>
    <d v="2026-03-15T00:00:00"/>
    <x v="8"/>
    <x v="1"/>
    <x v="0"/>
    <x v="2"/>
    <x v="1"/>
    <x v="26"/>
    <x v="2"/>
    <x v="1"/>
    <x v="0"/>
  </r>
  <r>
    <d v="1981-05-14T00:00:00"/>
    <n v="45"/>
    <x v="27"/>
    <d v="2024-12-01T00:00:00"/>
    <x v="4"/>
    <x v="3"/>
    <x v="0"/>
    <x v="1"/>
    <x v="3"/>
    <x v="27"/>
    <x v="1"/>
    <x v="1"/>
    <x v="0"/>
  </r>
  <r>
    <d v="1986-02-19T00:00:00"/>
    <n v="41"/>
    <x v="28"/>
    <d v="2026-01-11T00:00:00"/>
    <x v="13"/>
    <x v="1"/>
    <x v="0"/>
    <x v="1"/>
    <x v="3"/>
    <x v="28"/>
    <x v="1"/>
    <x v="1"/>
    <x v="1"/>
  </r>
  <r>
    <d v="1952-10-31T00:00:00"/>
    <n v="74"/>
    <x v="29"/>
    <d v="2025-06-08T00:00:00"/>
    <x v="8"/>
    <x v="3"/>
    <x v="3"/>
    <x v="0"/>
    <x v="0"/>
    <x v="29"/>
    <x v="1"/>
    <x v="1"/>
    <x v="0"/>
  </r>
  <r>
    <d v="1987-01-22T00:00:00"/>
    <n v="40"/>
    <x v="30"/>
    <d v="2025-10-27T00:00:00"/>
    <x v="9"/>
    <x v="1"/>
    <x v="2"/>
    <x v="2"/>
    <x v="3"/>
    <x v="30"/>
    <x v="1"/>
    <x v="1"/>
    <x v="0"/>
  </r>
  <r>
    <d v="1960-05-27T00:00:00"/>
    <n v="66"/>
    <x v="31"/>
    <d v="2025-02-21T00:00:00"/>
    <x v="11"/>
    <x v="3"/>
    <x v="3"/>
    <x v="0"/>
    <x v="0"/>
    <x v="31"/>
    <x v="0"/>
    <x v="0"/>
    <x v="1"/>
  </r>
  <r>
    <d v="1953-12-20T00:00:00"/>
    <n v="73"/>
    <x v="32"/>
    <d v="2025-04-21T00:00:00"/>
    <x v="12"/>
    <x v="4"/>
    <x v="3"/>
    <x v="2"/>
    <x v="2"/>
    <x v="32"/>
    <x v="0"/>
    <x v="0"/>
    <x v="1"/>
  </r>
  <r>
    <d v="2007-11-18T00:00:00"/>
    <n v="19"/>
    <x v="33"/>
    <d v="2025-02-18T00:00:00"/>
    <x v="14"/>
    <x v="0"/>
    <x v="0"/>
    <x v="2"/>
    <x v="2"/>
    <x v="33"/>
    <x v="2"/>
    <x v="1"/>
    <x v="1"/>
  </r>
  <r>
    <d v="2008-11-25T00:00:00"/>
    <n v="18"/>
    <x v="34"/>
    <d v="2024-06-20T00:00:00"/>
    <x v="14"/>
    <x v="2"/>
    <x v="4"/>
    <x v="2"/>
    <x v="0"/>
    <x v="34"/>
    <x v="2"/>
    <x v="1"/>
    <x v="0"/>
  </r>
  <r>
    <d v="1999-04-24T00:00:00"/>
    <n v="27"/>
    <x v="35"/>
    <d v="2025-09-02T00:00:00"/>
    <x v="15"/>
    <x v="1"/>
    <x v="2"/>
    <x v="1"/>
    <x v="2"/>
    <x v="35"/>
    <x v="0"/>
    <x v="0"/>
    <x v="0"/>
  </r>
  <r>
    <d v="1968-07-31T00:00:00"/>
    <n v="58"/>
    <x v="36"/>
    <d v="2024-09-02T00:00:00"/>
    <x v="10"/>
    <x v="0"/>
    <x v="0"/>
    <x v="0"/>
    <x v="1"/>
    <x v="36"/>
    <x v="0"/>
    <x v="0"/>
    <x v="1"/>
  </r>
  <r>
    <d v="1955-12-17T00:00:00"/>
    <n v="71"/>
    <x v="37"/>
    <d v="2024-02-01T00:00:00"/>
    <x v="7"/>
    <x v="2"/>
    <x v="4"/>
    <x v="0"/>
    <x v="3"/>
    <x v="37"/>
    <x v="1"/>
    <x v="1"/>
    <x v="1"/>
  </r>
  <r>
    <d v="1991-09-27T00:00:00"/>
    <n v="35"/>
    <x v="38"/>
    <d v="2025-06-22T00:00:00"/>
    <x v="0"/>
    <x v="2"/>
    <x v="4"/>
    <x v="2"/>
    <x v="1"/>
    <x v="38"/>
    <x v="1"/>
    <x v="1"/>
    <x v="0"/>
  </r>
  <r>
    <d v="1976-11-06T00:00:00"/>
    <n v="50"/>
    <x v="39"/>
    <d v="2024-06-04T00:00:00"/>
    <x v="13"/>
    <x v="3"/>
    <x v="1"/>
    <x v="1"/>
    <x v="3"/>
    <x v="39"/>
    <x v="2"/>
    <x v="1"/>
    <x v="0"/>
  </r>
  <r>
    <d v="1957-06-11T00:00:00"/>
    <n v="69"/>
    <x v="40"/>
    <d v="2026-02-22T00:00:00"/>
    <x v="7"/>
    <x v="4"/>
    <x v="2"/>
    <x v="1"/>
    <x v="2"/>
    <x v="40"/>
    <x v="0"/>
    <x v="0"/>
    <x v="1"/>
  </r>
  <r>
    <d v="1980-03-16T00:00:00"/>
    <n v="47"/>
    <x v="41"/>
    <d v="2026-03-10T00:00:00"/>
    <x v="1"/>
    <x v="4"/>
    <x v="4"/>
    <x v="0"/>
    <x v="1"/>
    <x v="41"/>
    <x v="2"/>
    <x v="1"/>
    <x v="1"/>
  </r>
  <r>
    <d v="1952-02-06T00:00:00"/>
    <n v="75"/>
    <x v="42"/>
    <d v="2026-01-26T00:00:00"/>
    <x v="16"/>
    <x v="0"/>
    <x v="0"/>
    <x v="1"/>
    <x v="2"/>
    <x v="42"/>
    <x v="0"/>
    <x v="0"/>
    <x v="0"/>
  </r>
  <r>
    <d v="2005-06-19T00:00:00"/>
    <n v="21"/>
    <x v="43"/>
    <d v="2024-11-06T00:00:00"/>
    <x v="8"/>
    <x v="4"/>
    <x v="1"/>
    <x v="1"/>
    <x v="3"/>
    <x v="43"/>
    <x v="1"/>
    <x v="1"/>
    <x v="1"/>
  </r>
  <r>
    <d v="1965-10-14T00:00:00"/>
    <n v="61"/>
    <x v="44"/>
    <d v="2024-01-27T00:00:00"/>
    <x v="9"/>
    <x v="1"/>
    <x v="2"/>
    <x v="2"/>
    <x v="0"/>
    <x v="44"/>
    <x v="2"/>
    <x v="1"/>
    <x v="0"/>
  </r>
  <r>
    <d v="1990-05-31T00:00:00"/>
    <n v="36"/>
    <x v="45"/>
    <d v="2026-02-13T00:00:00"/>
    <x v="4"/>
    <x v="4"/>
    <x v="3"/>
    <x v="1"/>
    <x v="0"/>
    <x v="45"/>
    <x v="2"/>
    <x v="1"/>
    <x v="0"/>
  </r>
  <r>
    <d v="1969-01-05T00:00:00"/>
    <n v="58"/>
    <x v="46"/>
    <d v="2024-12-25T00:00:00"/>
    <x v="17"/>
    <x v="0"/>
    <x v="0"/>
    <x v="2"/>
    <x v="1"/>
    <x v="46"/>
    <x v="0"/>
    <x v="0"/>
    <x v="0"/>
  </r>
  <r>
    <d v="1981-09-21T00:00:00"/>
    <n v="45"/>
    <x v="47"/>
    <d v="2026-03-13T00:00:00"/>
    <x v="13"/>
    <x v="4"/>
    <x v="4"/>
    <x v="0"/>
    <x v="2"/>
    <x v="47"/>
    <x v="1"/>
    <x v="1"/>
    <x v="0"/>
  </r>
  <r>
    <d v="1983-05-08T00:00:00"/>
    <n v="43"/>
    <x v="48"/>
    <d v="2026-03-10T00:00:00"/>
    <x v="0"/>
    <x v="1"/>
    <x v="4"/>
    <x v="1"/>
    <x v="2"/>
    <x v="48"/>
    <x v="2"/>
    <x v="1"/>
    <x v="1"/>
  </r>
  <r>
    <d v="1961-04-11T00:00:00"/>
    <n v="65"/>
    <x v="49"/>
    <d v="2025-12-18T00:00:00"/>
    <x v="15"/>
    <x v="3"/>
    <x v="0"/>
    <x v="0"/>
    <x v="1"/>
    <x v="49"/>
    <x v="1"/>
    <x v="1"/>
    <x v="1"/>
  </r>
  <r>
    <d v="2009-02-21T00:00:00"/>
    <n v="18"/>
    <x v="50"/>
    <d v="2024-08-31T00:00:00"/>
    <x v="18"/>
    <x v="0"/>
    <x v="4"/>
    <x v="0"/>
    <x v="0"/>
    <x v="50"/>
    <x v="2"/>
    <x v="1"/>
    <x v="0"/>
  </r>
  <r>
    <d v="1997-04-13T00:00:00"/>
    <n v="29"/>
    <x v="51"/>
    <d v="2024-11-16T00:00:00"/>
    <x v="11"/>
    <x v="3"/>
    <x v="1"/>
    <x v="1"/>
    <x v="3"/>
    <x v="51"/>
    <x v="1"/>
    <x v="1"/>
    <x v="0"/>
  </r>
  <r>
    <d v="2007-04-23T00:00:00"/>
    <n v="19"/>
    <x v="52"/>
    <d v="2025-12-03T00:00:00"/>
    <x v="11"/>
    <x v="3"/>
    <x v="2"/>
    <x v="1"/>
    <x v="1"/>
    <x v="52"/>
    <x v="0"/>
    <x v="0"/>
    <x v="0"/>
  </r>
  <r>
    <d v="2004-07-31T00:00:00"/>
    <n v="22"/>
    <x v="53"/>
    <d v="2024-09-22T00:00:00"/>
    <x v="16"/>
    <x v="3"/>
    <x v="1"/>
    <x v="0"/>
    <x v="3"/>
    <x v="53"/>
    <x v="2"/>
    <x v="1"/>
    <x v="0"/>
  </r>
  <r>
    <d v="1986-06-21T00:00:00"/>
    <n v="40"/>
    <x v="54"/>
    <d v="2024-06-06T00:00:00"/>
    <x v="5"/>
    <x v="2"/>
    <x v="4"/>
    <x v="1"/>
    <x v="0"/>
    <x v="54"/>
    <x v="2"/>
    <x v="1"/>
    <x v="0"/>
  </r>
  <r>
    <d v="2006-03-26T00:00:00"/>
    <n v="20"/>
    <x v="55"/>
    <d v="2025-04-09T00:00:00"/>
    <x v="17"/>
    <x v="2"/>
    <x v="3"/>
    <x v="2"/>
    <x v="2"/>
    <x v="55"/>
    <x v="1"/>
    <x v="1"/>
    <x v="1"/>
  </r>
  <r>
    <d v="1955-05-26T00:00:00"/>
    <n v="71"/>
    <x v="56"/>
    <d v="2026-02-22T00:00:00"/>
    <x v="3"/>
    <x v="3"/>
    <x v="2"/>
    <x v="2"/>
    <x v="0"/>
    <x v="56"/>
    <x v="1"/>
    <x v="1"/>
    <x v="1"/>
  </r>
  <r>
    <d v="1961-12-15T00:00:00"/>
    <n v="65"/>
    <x v="57"/>
    <d v="2025-08-06T00:00:00"/>
    <x v="4"/>
    <x v="0"/>
    <x v="2"/>
    <x v="1"/>
    <x v="1"/>
    <x v="57"/>
    <x v="2"/>
    <x v="1"/>
    <x v="1"/>
  </r>
  <r>
    <d v="1952-10-04T00:00:00"/>
    <n v="74"/>
    <x v="58"/>
    <d v="2025-04-13T00:00:00"/>
    <x v="19"/>
    <x v="1"/>
    <x v="0"/>
    <x v="0"/>
    <x v="2"/>
    <x v="58"/>
    <x v="0"/>
    <x v="0"/>
    <x v="1"/>
  </r>
  <r>
    <d v="1969-11-05T00:00:00"/>
    <n v="57"/>
    <x v="59"/>
    <d v="2024-04-09T00:00:00"/>
    <x v="2"/>
    <x v="1"/>
    <x v="0"/>
    <x v="1"/>
    <x v="1"/>
    <x v="59"/>
    <x v="1"/>
    <x v="1"/>
    <x v="0"/>
  </r>
  <r>
    <d v="1973-09-16T00:00:00"/>
    <n v="53"/>
    <x v="60"/>
    <d v="2025-06-05T00:00:00"/>
    <x v="1"/>
    <x v="4"/>
    <x v="3"/>
    <x v="1"/>
    <x v="1"/>
    <x v="60"/>
    <x v="1"/>
    <x v="1"/>
    <x v="0"/>
  </r>
  <r>
    <d v="1966-07-21T00:00:00"/>
    <n v="60"/>
    <x v="61"/>
    <d v="2026-03-29T00:00:00"/>
    <x v="8"/>
    <x v="0"/>
    <x v="2"/>
    <x v="0"/>
    <x v="0"/>
    <x v="61"/>
    <x v="1"/>
    <x v="1"/>
    <x v="0"/>
  </r>
  <r>
    <d v="2000-07-20T00:00:00"/>
    <n v="26"/>
    <x v="62"/>
    <d v="2024-05-07T00:00:00"/>
    <x v="4"/>
    <x v="2"/>
    <x v="3"/>
    <x v="0"/>
    <x v="1"/>
    <x v="62"/>
    <x v="2"/>
    <x v="1"/>
    <x v="0"/>
  </r>
  <r>
    <d v="1971-10-06T00:00:00"/>
    <n v="55"/>
    <x v="63"/>
    <d v="2025-03-05T00:00:00"/>
    <x v="6"/>
    <x v="3"/>
    <x v="0"/>
    <x v="2"/>
    <x v="0"/>
    <x v="63"/>
    <x v="2"/>
    <x v="1"/>
    <x v="0"/>
  </r>
  <r>
    <d v="1967-02-19T00:00:00"/>
    <n v="60"/>
    <x v="64"/>
    <d v="2025-12-24T00:00:00"/>
    <x v="6"/>
    <x v="4"/>
    <x v="0"/>
    <x v="0"/>
    <x v="2"/>
    <x v="64"/>
    <x v="2"/>
    <x v="1"/>
    <x v="1"/>
  </r>
  <r>
    <d v="1983-02-07T00:00:00"/>
    <n v="44"/>
    <x v="65"/>
    <d v="2025-09-05T00:00:00"/>
    <x v="16"/>
    <x v="1"/>
    <x v="2"/>
    <x v="2"/>
    <x v="0"/>
    <x v="65"/>
    <x v="2"/>
    <x v="1"/>
    <x v="0"/>
  </r>
  <r>
    <d v="1958-08-06T00:00:00"/>
    <n v="68"/>
    <x v="66"/>
    <d v="2025-08-13T00:00:00"/>
    <x v="5"/>
    <x v="2"/>
    <x v="1"/>
    <x v="0"/>
    <x v="2"/>
    <x v="66"/>
    <x v="0"/>
    <x v="0"/>
    <x v="1"/>
  </r>
  <r>
    <d v="1998-12-07T00:00:00"/>
    <n v="28"/>
    <x v="67"/>
    <d v="2025-08-11T00:00:00"/>
    <x v="7"/>
    <x v="2"/>
    <x v="4"/>
    <x v="1"/>
    <x v="0"/>
    <x v="67"/>
    <x v="0"/>
    <x v="0"/>
    <x v="1"/>
  </r>
  <r>
    <d v="1954-07-19T00:00:00"/>
    <n v="72"/>
    <x v="68"/>
    <d v="2024-10-28T00:00:00"/>
    <x v="8"/>
    <x v="3"/>
    <x v="0"/>
    <x v="2"/>
    <x v="3"/>
    <x v="68"/>
    <x v="2"/>
    <x v="1"/>
    <x v="1"/>
  </r>
  <r>
    <d v="2010-03-13T00:00:00"/>
    <n v="17"/>
    <x v="69"/>
    <d v="2024-09-07T00:00:00"/>
    <x v="13"/>
    <x v="1"/>
    <x v="0"/>
    <x v="2"/>
    <x v="3"/>
    <x v="69"/>
    <x v="0"/>
    <x v="0"/>
    <x v="1"/>
  </r>
  <r>
    <d v="1997-02-07T00:00:00"/>
    <n v="30"/>
    <x v="70"/>
    <d v="2025-11-13T00:00:00"/>
    <x v="5"/>
    <x v="0"/>
    <x v="1"/>
    <x v="2"/>
    <x v="1"/>
    <x v="70"/>
    <x v="1"/>
    <x v="1"/>
    <x v="0"/>
  </r>
  <r>
    <d v="1962-02-14T00:00:00"/>
    <n v="65"/>
    <x v="71"/>
    <d v="2025-11-02T00:00:00"/>
    <x v="8"/>
    <x v="2"/>
    <x v="1"/>
    <x v="1"/>
    <x v="0"/>
    <x v="71"/>
    <x v="1"/>
    <x v="1"/>
    <x v="1"/>
  </r>
  <r>
    <d v="1950-05-04T00:00:00"/>
    <n v="76"/>
    <x v="72"/>
    <d v="2025-12-14T00:00:00"/>
    <x v="12"/>
    <x v="3"/>
    <x v="3"/>
    <x v="1"/>
    <x v="0"/>
    <x v="72"/>
    <x v="1"/>
    <x v="1"/>
    <x v="1"/>
  </r>
  <r>
    <d v="1999-09-28T00:00:00"/>
    <n v="27"/>
    <x v="73"/>
    <d v="2026-01-31T00:00:00"/>
    <x v="4"/>
    <x v="0"/>
    <x v="3"/>
    <x v="1"/>
    <x v="2"/>
    <x v="73"/>
    <x v="2"/>
    <x v="1"/>
    <x v="1"/>
  </r>
  <r>
    <d v="1993-02-12T00:00:00"/>
    <n v="34"/>
    <x v="74"/>
    <d v="2025-03-08T00:00:00"/>
    <x v="4"/>
    <x v="1"/>
    <x v="4"/>
    <x v="1"/>
    <x v="1"/>
    <x v="74"/>
    <x v="1"/>
    <x v="1"/>
    <x v="0"/>
  </r>
  <r>
    <d v="1994-06-20T00:00:00"/>
    <n v="32"/>
    <x v="75"/>
    <d v="2025-03-05T00:00:00"/>
    <x v="15"/>
    <x v="2"/>
    <x v="4"/>
    <x v="1"/>
    <x v="0"/>
    <x v="75"/>
    <x v="0"/>
    <x v="0"/>
    <x v="0"/>
  </r>
  <r>
    <d v="1997-01-17T00:00:00"/>
    <n v="30"/>
    <x v="76"/>
    <d v="2025-11-05T00:00:00"/>
    <x v="2"/>
    <x v="0"/>
    <x v="2"/>
    <x v="2"/>
    <x v="1"/>
    <x v="76"/>
    <x v="2"/>
    <x v="1"/>
    <x v="0"/>
  </r>
  <r>
    <d v="1954-07-08T00:00:00"/>
    <n v="72"/>
    <x v="18"/>
    <d v="2025-06-24T00:00:00"/>
    <x v="17"/>
    <x v="0"/>
    <x v="3"/>
    <x v="1"/>
    <x v="3"/>
    <x v="77"/>
    <x v="0"/>
    <x v="0"/>
    <x v="1"/>
  </r>
  <r>
    <d v="1971-11-13T00:00:00"/>
    <n v="55"/>
    <x v="77"/>
    <d v="2025-08-07T00:00:00"/>
    <x v="0"/>
    <x v="0"/>
    <x v="0"/>
    <x v="2"/>
    <x v="0"/>
    <x v="78"/>
    <x v="1"/>
    <x v="1"/>
    <x v="1"/>
  </r>
  <r>
    <d v="1957-01-25T00:00:00"/>
    <n v="70"/>
    <x v="78"/>
    <d v="2025-10-21T00:00:00"/>
    <x v="8"/>
    <x v="2"/>
    <x v="3"/>
    <x v="1"/>
    <x v="0"/>
    <x v="79"/>
    <x v="1"/>
    <x v="1"/>
    <x v="0"/>
  </r>
  <r>
    <d v="2002-08-25T00:00:00"/>
    <n v="24"/>
    <x v="79"/>
    <d v="2025-12-31T00:00:00"/>
    <x v="19"/>
    <x v="2"/>
    <x v="0"/>
    <x v="0"/>
    <x v="1"/>
    <x v="80"/>
    <x v="1"/>
    <x v="1"/>
    <x v="1"/>
  </r>
  <r>
    <d v="1988-01-08T00:00:00"/>
    <n v="39"/>
    <x v="80"/>
    <d v="2024-10-07T00:00:00"/>
    <x v="12"/>
    <x v="4"/>
    <x v="1"/>
    <x v="2"/>
    <x v="0"/>
    <x v="81"/>
    <x v="2"/>
    <x v="1"/>
    <x v="0"/>
  </r>
  <r>
    <d v="1970-03-09T00:00:00"/>
    <n v="57"/>
    <x v="81"/>
    <d v="2024-11-16T00:00:00"/>
    <x v="4"/>
    <x v="1"/>
    <x v="3"/>
    <x v="0"/>
    <x v="1"/>
    <x v="82"/>
    <x v="0"/>
    <x v="0"/>
    <x v="0"/>
  </r>
  <r>
    <d v="1953-11-17T00:00:00"/>
    <n v="73"/>
    <x v="82"/>
    <d v="2024-04-04T00:00:00"/>
    <x v="1"/>
    <x v="3"/>
    <x v="1"/>
    <x v="2"/>
    <x v="0"/>
    <x v="83"/>
    <x v="2"/>
    <x v="1"/>
    <x v="1"/>
  </r>
  <r>
    <d v="1968-12-20T00:00:00"/>
    <n v="58"/>
    <x v="83"/>
    <d v="2025-04-20T00:00:00"/>
    <x v="19"/>
    <x v="0"/>
    <x v="4"/>
    <x v="0"/>
    <x v="2"/>
    <x v="84"/>
    <x v="2"/>
    <x v="1"/>
    <x v="1"/>
  </r>
  <r>
    <d v="1969-11-01T00:00:00"/>
    <n v="57"/>
    <x v="84"/>
    <d v="2024-02-05T00:00:00"/>
    <x v="16"/>
    <x v="4"/>
    <x v="4"/>
    <x v="1"/>
    <x v="1"/>
    <x v="85"/>
    <x v="1"/>
    <x v="1"/>
    <x v="1"/>
  </r>
  <r>
    <d v="1994-07-03T00:00:00"/>
    <n v="32"/>
    <x v="85"/>
    <d v="2025-01-22T00:00:00"/>
    <x v="16"/>
    <x v="3"/>
    <x v="2"/>
    <x v="1"/>
    <x v="0"/>
    <x v="86"/>
    <x v="2"/>
    <x v="1"/>
    <x v="1"/>
  </r>
  <r>
    <d v="1988-11-21T00:00:00"/>
    <n v="38"/>
    <x v="86"/>
    <d v="2025-04-01T00:00:00"/>
    <x v="7"/>
    <x v="4"/>
    <x v="3"/>
    <x v="1"/>
    <x v="3"/>
    <x v="87"/>
    <x v="2"/>
    <x v="1"/>
    <x v="0"/>
  </r>
  <r>
    <d v="2004-02-13T00:00:00"/>
    <n v="23"/>
    <x v="87"/>
    <d v="2024-09-04T00:00:00"/>
    <x v="4"/>
    <x v="2"/>
    <x v="1"/>
    <x v="2"/>
    <x v="0"/>
    <x v="88"/>
    <x v="1"/>
    <x v="1"/>
    <x v="0"/>
  </r>
  <r>
    <d v="1978-10-21T00:00:00"/>
    <n v="48"/>
    <x v="88"/>
    <d v="2025-05-12T00:00:00"/>
    <x v="4"/>
    <x v="0"/>
    <x v="0"/>
    <x v="0"/>
    <x v="3"/>
    <x v="89"/>
    <x v="2"/>
    <x v="1"/>
    <x v="0"/>
  </r>
  <r>
    <d v="1957-04-18T00:00:00"/>
    <n v="69"/>
    <x v="89"/>
    <d v="2024-02-10T00:00:00"/>
    <x v="10"/>
    <x v="3"/>
    <x v="4"/>
    <x v="1"/>
    <x v="3"/>
    <x v="90"/>
    <x v="1"/>
    <x v="1"/>
    <x v="0"/>
  </r>
  <r>
    <d v="1993-07-04T00:00:00"/>
    <n v="33"/>
    <x v="90"/>
    <d v="2024-02-16T00:00:00"/>
    <x v="3"/>
    <x v="3"/>
    <x v="4"/>
    <x v="0"/>
    <x v="2"/>
    <x v="91"/>
    <x v="1"/>
    <x v="1"/>
    <x v="0"/>
  </r>
  <r>
    <d v="1996-05-28T00:00:00"/>
    <n v="30"/>
    <x v="91"/>
    <d v="2025-11-16T00:00:00"/>
    <x v="14"/>
    <x v="3"/>
    <x v="0"/>
    <x v="0"/>
    <x v="1"/>
    <x v="92"/>
    <x v="1"/>
    <x v="1"/>
    <x v="1"/>
  </r>
  <r>
    <d v="1984-03-27T00:00:00"/>
    <n v="42"/>
    <x v="92"/>
    <d v="2024-10-27T00:00:00"/>
    <x v="11"/>
    <x v="3"/>
    <x v="1"/>
    <x v="1"/>
    <x v="0"/>
    <x v="93"/>
    <x v="1"/>
    <x v="1"/>
    <x v="0"/>
  </r>
  <r>
    <d v="1997-01-10T00:00:00"/>
    <n v="30"/>
    <x v="93"/>
    <d v="2024-04-18T00:00:00"/>
    <x v="6"/>
    <x v="3"/>
    <x v="1"/>
    <x v="1"/>
    <x v="2"/>
    <x v="94"/>
    <x v="2"/>
    <x v="1"/>
    <x v="0"/>
  </r>
  <r>
    <d v="1980-02-14T00:00:00"/>
    <n v="47"/>
    <x v="94"/>
    <d v="2025-03-07T00:00:00"/>
    <x v="12"/>
    <x v="4"/>
    <x v="3"/>
    <x v="0"/>
    <x v="0"/>
    <x v="95"/>
    <x v="1"/>
    <x v="1"/>
    <x v="0"/>
  </r>
  <r>
    <d v="1981-11-19T00:00:00"/>
    <n v="45"/>
    <x v="95"/>
    <d v="2025-10-12T00:00:00"/>
    <x v="5"/>
    <x v="0"/>
    <x v="3"/>
    <x v="1"/>
    <x v="3"/>
    <x v="96"/>
    <x v="1"/>
    <x v="1"/>
    <x v="1"/>
  </r>
  <r>
    <d v="1976-01-30T00:00:00"/>
    <n v="51"/>
    <x v="96"/>
    <d v="2024-07-15T00:00:00"/>
    <x v="2"/>
    <x v="2"/>
    <x v="2"/>
    <x v="1"/>
    <x v="1"/>
    <x v="97"/>
    <x v="2"/>
    <x v="1"/>
    <x v="1"/>
  </r>
  <r>
    <d v="1951-07-21T00:00:00"/>
    <n v="75"/>
    <x v="97"/>
    <d v="2025-06-12T00:00:00"/>
    <x v="15"/>
    <x v="2"/>
    <x v="4"/>
    <x v="1"/>
    <x v="0"/>
    <x v="98"/>
    <x v="2"/>
    <x v="1"/>
    <x v="1"/>
  </r>
  <r>
    <d v="1956-07-31T00:00:00"/>
    <n v="70"/>
    <x v="98"/>
    <d v="2024-03-25T00:00:00"/>
    <x v="10"/>
    <x v="2"/>
    <x v="3"/>
    <x v="2"/>
    <x v="0"/>
    <x v="99"/>
    <x v="0"/>
    <x v="0"/>
    <x v="1"/>
  </r>
  <r>
    <d v="1951-12-02T00:00:00"/>
    <n v="75"/>
    <x v="99"/>
    <d v="2024-02-21T00:00:00"/>
    <x v="0"/>
    <x v="2"/>
    <x v="1"/>
    <x v="0"/>
    <x v="3"/>
    <x v="100"/>
    <x v="2"/>
    <x v="1"/>
    <x v="0"/>
  </r>
  <r>
    <d v="1988-10-26T00:00:00"/>
    <n v="38"/>
    <x v="100"/>
    <d v="2025-03-28T00:00:00"/>
    <x v="1"/>
    <x v="4"/>
    <x v="0"/>
    <x v="0"/>
    <x v="0"/>
    <x v="101"/>
    <x v="2"/>
    <x v="1"/>
    <x v="0"/>
  </r>
  <r>
    <d v="1969-03-05T00:00:00"/>
    <n v="58"/>
    <x v="101"/>
    <d v="2025-04-02T00:00:00"/>
    <x v="9"/>
    <x v="1"/>
    <x v="1"/>
    <x v="2"/>
    <x v="0"/>
    <x v="102"/>
    <x v="0"/>
    <x v="0"/>
    <x v="1"/>
  </r>
  <r>
    <d v="1981-01-08T00:00:00"/>
    <n v="46"/>
    <x v="102"/>
    <d v="2025-06-21T00:00:00"/>
    <x v="10"/>
    <x v="0"/>
    <x v="4"/>
    <x v="0"/>
    <x v="3"/>
    <x v="103"/>
    <x v="2"/>
    <x v="1"/>
    <x v="1"/>
  </r>
  <r>
    <d v="2005-05-11T00:00:00"/>
    <n v="21"/>
    <x v="103"/>
    <d v="2025-08-19T00:00:00"/>
    <x v="19"/>
    <x v="3"/>
    <x v="1"/>
    <x v="1"/>
    <x v="2"/>
    <x v="104"/>
    <x v="2"/>
    <x v="1"/>
    <x v="0"/>
  </r>
  <r>
    <d v="1965-03-16T00:00:00"/>
    <n v="62"/>
    <x v="104"/>
    <d v="2026-03-14T00:00:00"/>
    <x v="12"/>
    <x v="1"/>
    <x v="2"/>
    <x v="0"/>
    <x v="3"/>
    <x v="105"/>
    <x v="2"/>
    <x v="1"/>
    <x v="0"/>
  </r>
  <r>
    <d v="1975-01-12T00:00:00"/>
    <n v="52"/>
    <x v="105"/>
    <d v="2025-03-15T00:00:00"/>
    <x v="3"/>
    <x v="2"/>
    <x v="4"/>
    <x v="1"/>
    <x v="2"/>
    <x v="106"/>
    <x v="2"/>
    <x v="1"/>
    <x v="1"/>
  </r>
  <r>
    <d v="1996-02-01T00:00:00"/>
    <n v="31"/>
    <x v="106"/>
    <d v="2024-10-02T00:00:00"/>
    <x v="14"/>
    <x v="1"/>
    <x v="0"/>
    <x v="2"/>
    <x v="1"/>
    <x v="107"/>
    <x v="0"/>
    <x v="0"/>
    <x v="1"/>
  </r>
  <r>
    <d v="1963-12-16T00:00:00"/>
    <n v="63"/>
    <x v="78"/>
    <d v="2025-10-26T00:00:00"/>
    <x v="7"/>
    <x v="0"/>
    <x v="2"/>
    <x v="1"/>
    <x v="2"/>
    <x v="108"/>
    <x v="2"/>
    <x v="1"/>
    <x v="1"/>
  </r>
  <r>
    <d v="1954-09-12T00:00:00"/>
    <n v="72"/>
    <x v="107"/>
    <d v="2024-08-20T00:00:00"/>
    <x v="13"/>
    <x v="3"/>
    <x v="4"/>
    <x v="0"/>
    <x v="2"/>
    <x v="109"/>
    <x v="2"/>
    <x v="1"/>
    <x v="1"/>
  </r>
  <r>
    <d v="1967-09-04T00:00:00"/>
    <n v="59"/>
    <x v="108"/>
    <d v="2025-01-10T00:00:00"/>
    <x v="3"/>
    <x v="3"/>
    <x v="0"/>
    <x v="0"/>
    <x v="1"/>
    <x v="110"/>
    <x v="0"/>
    <x v="0"/>
    <x v="0"/>
  </r>
  <r>
    <d v="1959-11-01T00:00:00"/>
    <n v="67"/>
    <x v="109"/>
    <d v="2024-03-13T00:00:00"/>
    <x v="17"/>
    <x v="0"/>
    <x v="2"/>
    <x v="0"/>
    <x v="2"/>
    <x v="111"/>
    <x v="1"/>
    <x v="1"/>
    <x v="0"/>
  </r>
  <r>
    <d v="2006-09-16T00:00:00"/>
    <n v="20"/>
    <x v="110"/>
    <d v="2024-01-27T00:00:00"/>
    <x v="16"/>
    <x v="0"/>
    <x v="2"/>
    <x v="2"/>
    <x v="3"/>
    <x v="112"/>
    <x v="0"/>
    <x v="0"/>
    <x v="0"/>
  </r>
  <r>
    <d v="1999-04-18T00:00:00"/>
    <n v="27"/>
    <x v="111"/>
    <d v="2026-03-12T00:00:00"/>
    <x v="7"/>
    <x v="2"/>
    <x v="4"/>
    <x v="2"/>
    <x v="2"/>
    <x v="113"/>
    <x v="1"/>
    <x v="1"/>
    <x v="1"/>
  </r>
  <r>
    <d v="1988-08-20T00:00:00"/>
    <n v="38"/>
    <x v="112"/>
    <d v="2025-11-24T00:00:00"/>
    <x v="17"/>
    <x v="3"/>
    <x v="3"/>
    <x v="0"/>
    <x v="1"/>
    <x v="114"/>
    <x v="0"/>
    <x v="0"/>
    <x v="1"/>
  </r>
  <r>
    <d v="2003-02-27T00:00:00"/>
    <n v="24"/>
    <x v="57"/>
    <d v="2025-07-28T00:00:00"/>
    <x v="6"/>
    <x v="1"/>
    <x v="2"/>
    <x v="1"/>
    <x v="3"/>
    <x v="115"/>
    <x v="0"/>
    <x v="0"/>
    <x v="0"/>
  </r>
  <r>
    <d v="1999-01-09T00:00:00"/>
    <n v="28"/>
    <x v="113"/>
    <d v="2024-12-09T00:00:00"/>
    <x v="17"/>
    <x v="4"/>
    <x v="2"/>
    <x v="2"/>
    <x v="1"/>
    <x v="116"/>
    <x v="2"/>
    <x v="1"/>
    <x v="0"/>
  </r>
  <r>
    <d v="1961-05-19T00:00:00"/>
    <n v="65"/>
    <x v="114"/>
    <d v="2024-06-09T00:00:00"/>
    <x v="15"/>
    <x v="4"/>
    <x v="0"/>
    <x v="0"/>
    <x v="1"/>
    <x v="117"/>
    <x v="1"/>
    <x v="1"/>
    <x v="0"/>
  </r>
  <r>
    <d v="2004-06-11T00:00:00"/>
    <n v="22"/>
    <x v="115"/>
    <d v="2024-05-13T00:00:00"/>
    <x v="11"/>
    <x v="0"/>
    <x v="1"/>
    <x v="0"/>
    <x v="0"/>
    <x v="118"/>
    <x v="2"/>
    <x v="1"/>
    <x v="0"/>
  </r>
  <r>
    <d v="1982-11-25T00:00:00"/>
    <n v="44"/>
    <x v="116"/>
    <d v="2024-08-02T00:00:00"/>
    <x v="0"/>
    <x v="2"/>
    <x v="4"/>
    <x v="2"/>
    <x v="0"/>
    <x v="119"/>
    <x v="1"/>
    <x v="1"/>
    <x v="1"/>
  </r>
  <r>
    <d v="1999-04-02T00:00:00"/>
    <n v="27"/>
    <x v="117"/>
    <d v="2025-03-30T00:00:00"/>
    <x v="6"/>
    <x v="4"/>
    <x v="4"/>
    <x v="2"/>
    <x v="1"/>
    <x v="120"/>
    <x v="0"/>
    <x v="0"/>
    <x v="0"/>
  </r>
  <r>
    <d v="2004-08-29T00:00:00"/>
    <n v="22"/>
    <x v="118"/>
    <d v="2025-08-25T00:00:00"/>
    <x v="1"/>
    <x v="3"/>
    <x v="3"/>
    <x v="2"/>
    <x v="1"/>
    <x v="121"/>
    <x v="0"/>
    <x v="0"/>
    <x v="0"/>
  </r>
  <r>
    <d v="1969-05-25T00:00:00"/>
    <n v="57"/>
    <x v="119"/>
    <d v="2025-07-04T00:00:00"/>
    <x v="0"/>
    <x v="0"/>
    <x v="3"/>
    <x v="1"/>
    <x v="1"/>
    <x v="122"/>
    <x v="1"/>
    <x v="1"/>
    <x v="0"/>
  </r>
  <r>
    <d v="1956-09-17T00:00:00"/>
    <n v="70"/>
    <x v="120"/>
    <d v="2024-08-18T00:00:00"/>
    <x v="19"/>
    <x v="1"/>
    <x v="4"/>
    <x v="1"/>
    <x v="0"/>
    <x v="123"/>
    <x v="2"/>
    <x v="1"/>
    <x v="0"/>
  </r>
  <r>
    <d v="1963-11-27T00:00:00"/>
    <n v="63"/>
    <x v="41"/>
    <d v="2026-03-13T00:00:00"/>
    <x v="2"/>
    <x v="0"/>
    <x v="3"/>
    <x v="0"/>
    <x v="0"/>
    <x v="124"/>
    <x v="2"/>
    <x v="1"/>
    <x v="0"/>
  </r>
  <r>
    <d v="1976-01-20T00:00:00"/>
    <n v="51"/>
    <x v="121"/>
    <d v="2025-09-10T00:00:00"/>
    <x v="4"/>
    <x v="1"/>
    <x v="0"/>
    <x v="2"/>
    <x v="2"/>
    <x v="125"/>
    <x v="2"/>
    <x v="1"/>
    <x v="0"/>
  </r>
  <r>
    <d v="1999-11-24T00:00:00"/>
    <n v="27"/>
    <x v="122"/>
    <d v="2025-04-15T00:00:00"/>
    <x v="3"/>
    <x v="0"/>
    <x v="4"/>
    <x v="1"/>
    <x v="2"/>
    <x v="126"/>
    <x v="2"/>
    <x v="1"/>
    <x v="0"/>
  </r>
  <r>
    <d v="2002-07-03T00:00:00"/>
    <n v="24"/>
    <x v="123"/>
    <d v="2025-05-29T00:00:00"/>
    <x v="4"/>
    <x v="0"/>
    <x v="3"/>
    <x v="2"/>
    <x v="1"/>
    <x v="127"/>
    <x v="0"/>
    <x v="0"/>
    <x v="1"/>
  </r>
  <r>
    <d v="1950-06-04T00:00:00"/>
    <n v="76"/>
    <x v="124"/>
    <d v="2024-12-24T00:00:00"/>
    <x v="9"/>
    <x v="0"/>
    <x v="4"/>
    <x v="0"/>
    <x v="3"/>
    <x v="128"/>
    <x v="0"/>
    <x v="0"/>
    <x v="1"/>
  </r>
  <r>
    <d v="1981-02-25T00:00:00"/>
    <n v="46"/>
    <x v="125"/>
    <d v="2024-07-25T00:00:00"/>
    <x v="12"/>
    <x v="1"/>
    <x v="1"/>
    <x v="1"/>
    <x v="3"/>
    <x v="129"/>
    <x v="0"/>
    <x v="0"/>
    <x v="1"/>
  </r>
  <r>
    <d v="1975-06-18T00:00:00"/>
    <n v="51"/>
    <x v="126"/>
    <d v="2024-10-24T00:00:00"/>
    <x v="16"/>
    <x v="1"/>
    <x v="2"/>
    <x v="1"/>
    <x v="0"/>
    <x v="130"/>
    <x v="0"/>
    <x v="0"/>
    <x v="1"/>
  </r>
  <r>
    <d v="1963-07-20T00:00:00"/>
    <n v="63"/>
    <x v="127"/>
    <d v="2025-10-01T00:00:00"/>
    <x v="15"/>
    <x v="0"/>
    <x v="4"/>
    <x v="1"/>
    <x v="0"/>
    <x v="131"/>
    <x v="0"/>
    <x v="0"/>
    <x v="0"/>
  </r>
  <r>
    <d v="1957-04-24T00:00:00"/>
    <n v="69"/>
    <x v="128"/>
    <d v="2024-01-31T00:00:00"/>
    <x v="5"/>
    <x v="4"/>
    <x v="2"/>
    <x v="0"/>
    <x v="0"/>
    <x v="132"/>
    <x v="2"/>
    <x v="1"/>
    <x v="1"/>
  </r>
  <r>
    <d v="1970-08-05T00:00:00"/>
    <n v="56"/>
    <x v="129"/>
    <d v="2024-04-10T00:00:00"/>
    <x v="11"/>
    <x v="2"/>
    <x v="3"/>
    <x v="2"/>
    <x v="1"/>
    <x v="133"/>
    <x v="2"/>
    <x v="1"/>
    <x v="1"/>
  </r>
  <r>
    <d v="2007-07-08T00:00:00"/>
    <n v="19"/>
    <x v="130"/>
    <d v="2024-02-22T00:00:00"/>
    <x v="10"/>
    <x v="2"/>
    <x v="2"/>
    <x v="1"/>
    <x v="3"/>
    <x v="134"/>
    <x v="2"/>
    <x v="1"/>
    <x v="0"/>
  </r>
  <r>
    <d v="1969-09-18T00:00:00"/>
    <n v="57"/>
    <x v="131"/>
    <d v="2024-02-05T00:00:00"/>
    <x v="18"/>
    <x v="2"/>
    <x v="4"/>
    <x v="0"/>
    <x v="2"/>
    <x v="135"/>
    <x v="2"/>
    <x v="1"/>
    <x v="0"/>
  </r>
  <r>
    <d v="1981-08-24T00:00:00"/>
    <n v="45"/>
    <x v="132"/>
    <d v="2025-12-12T00:00:00"/>
    <x v="13"/>
    <x v="1"/>
    <x v="1"/>
    <x v="2"/>
    <x v="1"/>
    <x v="136"/>
    <x v="0"/>
    <x v="0"/>
    <x v="1"/>
  </r>
  <r>
    <d v="1992-11-18T00:00:00"/>
    <n v="34"/>
    <x v="67"/>
    <d v="2025-08-17T00:00:00"/>
    <x v="15"/>
    <x v="1"/>
    <x v="3"/>
    <x v="0"/>
    <x v="2"/>
    <x v="137"/>
    <x v="0"/>
    <x v="0"/>
    <x v="1"/>
  </r>
  <r>
    <d v="1972-03-07T00:00:00"/>
    <n v="55"/>
    <x v="133"/>
    <d v="2025-02-05T00:00:00"/>
    <x v="4"/>
    <x v="4"/>
    <x v="4"/>
    <x v="2"/>
    <x v="2"/>
    <x v="138"/>
    <x v="0"/>
    <x v="0"/>
    <x v="0"/>
  </r>
  <r>
    <d v="2009-04-11T00:00:00"/>
    <n v="17"/>
    <x v="134"/>
    <d v="2024-03-26T00:00:00"/>
    <x v="11"/>
    <x v="2"/>
    <x v="3"/>
    <x v="0"/>
    <x v="1"/>
    <x v="139"/>
    <x v="1"/>
    <x v="1"/>
    <x v="1"/>
  </r>
  <r>
    <d v="2008-09-15T00:00:00"/>
    <n v="18"/>
    <x v="33"/>
    <d v="2025-02-08T00:00:00"/>
    <x v="19"/>
    <x v="2"/>
    <x v="0"/>
    <x v="2"/>
    <x v="2"/>
    <x v="140"/>
    <x v="2"/>
    <x v="1"/>
    <x v="0"/>
  </r>
  <r>
    <d v="1965-05-11T00:00:00"/>
    <n v="61"/>
    <x v="133"/>
    <d v="2025-01-24T00:00:00"/>
    <x v="19"/>
    <x v="0"/>
    <x v="2"/>
    <x v="1"/>
    <x v="3"/>
    <x v="141"/>
    <x v="2"/>
    <x v="1"/>
    <x v="0"/>
  </r>
  <r>
    <d v="1980-05-01T00:00:00"/>
    <n v="46"/>
    <x v="114"/>
    <d v="2024-06-09T00:00:00"/>
    <x v="15"/>
    <x v="1"/>
    <x v="0"/>
    <x v="2"/>
    <x v="2"/>
    <x v="142"/>
    <x v="0"/>
    <x v="0"/>
    <x v="0"/>
  </r>
  <r>
    <d v="1968-05-09T00:00:00"/>
    <n v="58"/>
    <x v="135"/>
    <d v="2025-01-05T00:00:00"/>
    <x v="10"/>
    <x v="2"/>
    <x v="4"/>
    <x v="0"/>
    <x v="3"/>
    <x v="143"/>
    <x v="2"/>
    <x v="1"/>
    <x v="0"/>
  </r>
  <r>
    <d v="1967-05-17T00:00:00"/>
    <n v="59"/>
    <x v="136"/>
    <d v="2024-12-09T00:00:00"/>
    <x v="1"/>
    <x v="4"/>
    <x v="1"/>
    <x v="0"/>
    <x v="3"/>
    <x v="144"/>
    <x v="2"/>
    <x v="1"/>
    <x v="1"/>
  </r>
  <r>
    <d v="1952-04-01T00:00:00"/>
    <n v="75"/>
    <x v="60"/>
    <d v="2025-05-30T00:00:00"/>
    <x v="14"/>
    <x v="4"/>
    <x v="3"/>
    <x v="2"/>
    <x v="3"/>
    <x v="145"/>
    <x v="0"/>
    <x v="0"/>
    <x v="0"/>
  </r>
  <r>
    <d v="1987-03-08T00:00:00"/>
    <n v="40"/>
    <x v="137"/>
    <d v="2025-06-21T00:00:00"/>
    <x v="1"/>
    <x v="2"/>
    <x v="2"/>
    <x v="1"/>
    <x v="0"/>
    <x v="146"/>
    <x v="1"/>
    <x v="1"/>
    <x v="0"/>
  </r>
  <r>
    <d v="1980-08-30T00:00:00"/>
    <n v="46"/>
    <x v="130"/>
    <d v="2024-02-20T00:00:00"/>
    <x v="4"/>
    <x v="1"/>
    <x v="3"/>
    <x v="1"/>
    <x v="2"/>
    <x v="147"/>
    <x v="1"/>
    <x v="1"/>
    <x v="1"/>
  </r>
  <r>
    <d v="1953-02-20T00:00:00"/>
    <n v="74"/>
    <x v="81"/>
    <d v="2024-11-04T00:00:00"/>
    <x v="19"/>
    <x v="4"/>
    <x v="4"/>
    <x v="2"/>
    <x v="1"/>
    <x v="148"/>
    <x v="1"/>
    <x v="1"/>
    <x v="0"/>
  </r>
  <r>
    <d v="1966-12-30T00:00:00"/>
    <n v="60"/>
    <x v="138"/>
    <d v="2025-05-30T00:00:00"/>
    <x v="18"/>
    <x v="0"/>
    <x v="3"/>
    <x v="2"/>
    <x v="1"/>
    <x v="149"/>
    <x v="0"/>
    <x v="0"/>
    <x v="1"/>
  </r>
  <r>
    <d v="2005-05-27T00:00:00"/>
    <n v="21"/>
    <x v="31"/>
    <d v="2025-02-25T00:00:00"/>
    <x v="0"/>
    <x v="4"/>
    <x v="2"/>
    <x v="0"/>
    <x v="2"/>
    <x v="150"/>
    <x v="2"/>
    <x v="1"/>
    <x v="1"/>
  </r>
  <r>
    <d v="1964-08-12T00:00:00"/>
    <n v="62"/>
    <x v="139"/>
    <d v="2025-12-06T00:00:00"/>
    <x v="12"/>
    <x v="3"/>
    <x v="4"/>
    <x v="1"/>
    <x v="0"/>
    <x v="151"/>
    <x v="0"/>
    <x v="0"/>
    <x v="1"/>
  </r>
  <r>
    <d v="1958-11-03T00:00:00"/>
    <n v="68"/>
    <x v="140"/>
    <d v="2025-06-25T00:00:00"/>
    <x v="19"/>
    <x v="3"/>
    <x v="3"/>
    <x v="2"/>
    <x v="0"/>
    <x v="152"/>
    <x v="0"/>
    <x v="0"/>
    <x v="0"/>
  </r>
  <r>
    <d v="1979-11-09T00:00:00"/>
    <n v="47"/>
    <x v="141"/>
    <d v="2024-05-29T00:00:00"/>
    <x v="3"/>
    <x v="1"/>
    <x v="1"/>
    <x v="1"/>
    <x v="3"/>
    <x v="153"/>
    <x v="2"/>
    <x v="1"/>
    <x v="1"/>
  </r>
  <r>
    <d v="2010-02-14T00:00:00"/>
    <n v="17"/>
    <x v="142"/>
    <d v="2024-03-04T00:00:00"/>
    <x v="16"/>
    <x v="2"/>
    <x v="4"/>
    <x v="2"/>
    <x v="2"/>
    <x v="154"/>
    <x v="1"/>
    <x v="1"/>
    <x v="1"/>
  </r>
  <r>
    <d v="1964-10-06T00:00:00"/>
    <n v="62"/>
    <x v="0"/>
    <d v="2025-06-27T00:00:00"/>
    <x v="1"/>
    <x v="1"/>
    <x v="4"/>
    <x v="2"/>
    <x v="2"/>
    <x v="155"/>
    <x v="1"/>
    <x v="1"/>
    <x v="0"/>
  </r>
  <r>
    <d v="1990-12-31T00:00:00"/>
    <n v="36"/>
    <x v="143"/>
    <d v="2024-01-27T00:00:00"/>
    <x v="11"/>
    <x v="1"/>
    <x v="1"/>
    <x v="1"/>
    <x v="1"/>
    <x v="156"/>
    <x v="0"/>
    <x v="0"/>
    <x v="1"/>
  </r>
  <r>
    <d v="1996-06-16T00:00:00"/>
    <n v="30"/>
    <x v="144"/>
    <d v="2025-04-30T00:00:00"/>
    <x v="11"/>
    <x v="1"/>
    <x v="0"/>
    <x v="2"/>
    <x v="2"/>
    <x v="157"/>
    <x v="1"/>
    <x v="1"/>
    <x v="1"/>
  </r>
  <r>
    <d v="1964-06-30T00:00:00"/>
    <n v="62"/>
    <x v="145"/>
    <d v="2026-02-15T00:00:00"/>
    <x v="16"/>
    <x v="1"/>
    <x v="2"/>
    <x v="2"/>
    <x v="0"/>
    <x v="158"/>
    <x v="0"/>
    <x v="0"/>
    <x v="1"/>
  </r>
  <r>
    <d v="1994-06-02T00:00:00"/>
    <n v="32"/>
    <x v="146"/>
    <d v="2025-04-19T00:00:00"/>
    <x v="12"/>
    <x v="0"/>
    <x v="0"/>
    <x v="0"/>
    <x v="2"/>
    <x v="159"/>
    <x v="0"/>
    <x v="0"/>
    <x v="1"/>
  </r>
  <r>
    <d v="1972-06-07T00:00:00"/>
    <n v="54"/>
    <x v="147"/>
    <d v="2024-11-19T00:00:00"/>
    <x v="11"/>
    <x v="0"/>
    <x v="3"/>
    <x v="2"/>
    <x v="1"/>
    <x v="160"/>
    <x v="2"/>
    <x v="1"/>
    <x v="1"/>
  </r>
  <r>
    <d v="1988-07-27T00:00:00"/>
    <n v="38"/>
    <x v="148"/>
    <d v="2025-06-16T00:00:00"/>
    <x v="11"/>
    <x v="4"/>
    <x v="1"/>
    <x v="2"/>
    <x v="3"/>
    <x v="161"/>
    <x v="2"/>
    <x v="1"/>
    <x v="0"/>
  </r>
  <r>
    <d v="1988-08-23T00:00:00"/>
    <n v="38"/>
    <x v="149"/>
    <d v="2025-01-20T00:00:00"/>
    <x v="13"/>
    <x v="3"/>
    <x v="0"/>
    <x v="2"/>
    <x v="1"/>
    <x v="162"/>
    <x v="2"/>
    <x v="1"/>
    <x v="1"/>
  </r>
  <r>
    <d v="1982-09-06T00:00:00"/>
    <n v="44"/>
    <x v="150"/>
    <d v="2025-04-02T00:00:00"/>
    <x v="13"/>
    <x v="1"/>
    <x v="4"/>
    <x v="0"/>
    <x v="1"/>
    <x v="163"/>
    <x v="0"/>
    <x v="0"/>
    <x v="1"/>
  </r>
  <r>
    <d v="1955-07-05T00:00:00"/>
    <n v="71"/>
    <x v="151"/>
    <d v="2026-03-02T00:00:00"/>
    <x v="5"/>
    <x v="4"/>
    <x v="3"/>
    <x v="1"/>
    <x v="3"/>
    <x v="164"/>
    <x v="2"/>
    <x v="1"/>
    <x v="0"/>
  </r>
  <r>
    <d v="2000-12-13T00:00:00"/>
    <n v="26"/>
    <x v="152"/>
    <d v="2024-11-29T00:00:00"/>
    <x v="1"/>
    <x v="3"/>
    <x v="3"/>
    <x v="0"/>
    <x v="1"/>
    <x v="165"/>
    <x v="1"/>
    <x v="1"/>
    <x v="0"/>
  </r>
  <r>
    <d v="1969-07-26T00:00:00"/>
    <n v="57"/>
    <x v="153"/>
    <d v="2026-03-13T00:00:00"/>
    <x v="9"/>
    <x v="2"/>
    <x v="0"/>
    <x v="0"/>
    <x v="1"/>
    <x v="166"/>
    <x v="1"/>
    <x v="1"/>
    <x v="0"/>
  </r>
  <r>
    <d v="1961-05-18T00:00:00"/>
    <n v="65"/>
    <x v="154"/>
    <d v="2026-01-21T00:00:00"/>
    <x v="0"/>
    <x v="0"/>
    <x v="0"/>
    <x v="1"/>
    <x v="2"/>
    <x v="167"/>
    <x v="0"/>
    <x v="0"/>
    <x v="1"/>
  </r>
  <r>
    <d v="1952-06-27T00:00:00"/>
    <n v="74"/>
    <x v="34"/>
    <d v="2024-06-23T00:00:00"/>
    <x v="9"/>
    <x v="3"/>
    <x v="1"/>
    <x v="0"/>
    <x v="2"/>
    <x v="168"/>
    <x v="0"/>
    <x v="0"/>
    <x v="0"/>
  </r>
  <r>
    <d v="1986-01-16T00:00:00"/>
    <n v="41"/>
    <x v="155"/>
    <d v="2024-02-27T00:00:00"/>
    <x v="19"/>
    <x v="2"/>
    <x v="2"/>
    <x v="1"/>
    <x v="3"/>
    <x v="169"/>
    <x v="2"/>
    <x v="1"/>
    <x v="1"/>
  </r>
  <r>
    <d v="1991-05-01T00:00:00"/>
    <n v="35"/>
    <x v="156"/>
    <d v="2024-04-11T00:00:00"/>
    <x v="5"/>
    <x v="3"/>
    <x v="0"/>
    <x v="0"/>
    <x v="2"/>
    <x v="170"/>
    <x v="0"/>
    <x v="0"/>
    <x v="1"/>
  </r>
  <r>
    <d v="1951-01-05T00:00:00"/>
    <n v="76"/>
    <x v="157"/>
    <d v="2024-01-28T00:00:00"/>
    <x v="4"/>
    <x v="0"/>
    <x v="0"/>
    <x v="1"/>
    <x v="2"/>
    <x v="171"/>
    <x v="0"/>
    <x v="0"/>
    <x v="0"/>
  </r>
  <r>
    <d v="1981-03-27T00:00:00"/>
    <n v="45"/>
    <x v="82"/>
    <d v="2024-03-31T00:00:00"/>
    <x v="4"/>
    <x v="0"/>
    <x v="4"/>
    <x v="2"/>
    <x v="1"/>
    <x v="172"/>
    <x v="1"/>
    <x v="1"/>
    <x v="0"/>
  </r>
  <r>
    <d v="1963-10-26T00:00:00"/>
    <n v="63"/>
    <x v="158"/>
    <d v="2025-07-18T00:00:00"/>
    <x v="6"/>
    <x v="4"/>
    <x v="3"/>
    <x v="0"/>
    <x v="0"/>
    <x v="173"/>
    <x v="1"/>
    <x v="1"/>
    <x v="1"/>
  </r>
  <r>
    <d v="1989-05-09T00:00:00"/>
    <n v="37"/>
    <x v="159"/>
    <d v="2024-02-29T00:00:00"/>
    <x v="19"/>
    <x v="1"/>
    <x v="2"/>
    <x v="0"/>
    <x v="2"/>
    <x v="174"/>
    <x v="2"/>
    <x v="1"/>
    <x v="0"/>
  </r>
  <r>
    <d v="1960-08-20T00:00:00"/>
    <n v="66"/>
    <x v="160"/>
    <d v="2024-10-05T00:00:00"/>
    <x v="1"/>
    <x v="3"/>
    <x v="4"/>
    <x v="0"/>
    <x v="0"/>
    <x v="175"/>
    <x v="0"/>
    <x v="0"/>
    <x v="1"/>
  </r>
  <r>
    <d v="1992-02-23T00:00:00"/>
    <n v="35"/>
    <x v="161"/>
    <d v="2025-12-01T00:00:00"/>
    <x v="17"/>
    <x v="3"/>
    <x v="1"/>
    <x v="0"/>
    <x v="2"/>
    <x v="176"/>
    <x v="0"/>
    <x v="0"/>
    <x v="0"/>
  </r>
  <r>
    <d v="1973-08-04T00:00:00"/>
    <n v="53"/>
    <x v="37"/>
    <d v="2024-01-22T00:00:00"/>
    <x v="18"/>
    <x v="2"/>
    <x v="1"/>
    <x v="2"/>
    <x v="2"/>
    <x v="177"/>
    <x v="1"/>
    <x v="1"/>
    <x v="0"/>
  </r>
  <r>
    <d v="2007-02-20T00:00:00"/>
    <n v="20"/>
    <x v="162"/>
    <d v="2025-11-06T00:00:00"/>
    <x v="17"/>
    <x v="0"/>
    <x v="0"/>
    <x v="0"/>
    <x v="3"/>
    <x v="178"/>
    <x v="0"/>
    <x v="0"/>
    <x v="0"/>
  </r>
  <r>
    <d v="1958-05-22T00:00:00"/>
    <n v="68"/>
    <x v="163"/>
    <d v="2024-08-26T00:00:00"/>
    <x v="8"/>
    <x v="3"/>
    <x v="0"/>
    <x v="2"/>
    <x v="3"/>
    <x v="179"/>
    <x v="1"/>
    <x v="1"/>
    <x v="1"/>
  </r>
  <r>
    <d v="1970-10-21T00:00:00"/>
    <n v="56"/>
    <x v="164"/>
    <d v="2024-04-08T00:00:00"/>
    <x v="18"/>
    <x v="0"/>
    <x v="1"/>
    <x v="2"/>
    <x v="3"/>
    <x v="180"/>
    <x v="2"/>
    <x v="1"/>
    <x v="0"/>
  </r>
  <r>
    <d v="1956-12-03T00:00:00"/>
    <n v="70"/>
    <x v="66"/>
    <d v="2025-07-28T00:00:00"/>
    <x v="12"/>
    <x v="3"/>
    <x v="0"/>
    <x v="2"/>
    <x v="0"/>
    <x v="181"/>
    <x v="1"/>
    <x v="1"/>
    <x v="1"/>
  </r>
  <r>
    <d v="2006-05-28T00:00:00"/>
    <n v="20"/>
    <x v="165"/>
    <d v="2025-06-17T00:00:00"/>
    <x v="15"/>
    <x v="4"/>
    <x v="2"/>
    <x v="2"/>
    <x v="1"/>
    <x v="182"/>
    <x v="0"/>
    <x v="0"/>
    <x v="1"/>
  </r>
  <r>
    <d v="2003-07-08T00:00:00"/>
    <n v="23"/>
    <x v="64"/>
    <d v="2026-01-01T00:00:00"/>
    <x v="7"/>
    <x v="1"/>
    <x v="0"/>
    <x v="1"/>
    <x v="2"/>
    <x v="183"/>
    <x v="2"/>
    <x v="1"/>
    <x v="1"/>
  </r>
  <r>
    <d v="1965-09-25T00:00:00"/>
    <n v="61"/>
    <x v="166"/>
    <d v="2025-08-26T00:00:00"/>
    <x v="19"/>
    <x v="3"/>
    <x v="3"/>
    <x v="1"/>
    <x v="2"/>
    <x v="184"/>
    <x v="1"/>
    <x v="1"/>
    <x v="1"/>
  </r>
  <r>
    <d v="1990-04-04T00:00:00"/>
    <n v="36"/>
    <x v="167"/>
    <d v="2025-11-01T00:00:00"/>
    <x v="7"/>
    <x v="0"/>
    <x v="0"/>
    <x v="0"/>
    <x v="2"/>
    <x v="185"/>
    <x v="1"/>
    <x v="1"/>
    <x v="0"/>
  </r>
  <r>
    <d v="1999-11-06T00:00:00"/>
    <n v="27"/>
    <x v="163"/>
    <d v="2024-08-24T00:00:00"/>
    <x v="11"/>
    <x v="4"/>
    <x v="4"/>
    <x v="1"/>
    <x v="0"/>
    <x v="186"/>
    <x v="2"/>
    <x v="1"/>
    <x v="1"/>
  </r>
  <r>
    <d v="1983-11-13T00:00:00"/>
    <n v="43"/>
    <x v="39"/>
    <d v="2024-06-11T00:00:00"/>
    <x v="1"/>
    <x v="3"/>
    <x v="2"/>
    <x v="1"/>
    <x v="3"/>
    <x v="187"/>
    <x v="2"/>
    <x v="1"/>
    <x v="1"/>
  </r>
  <r>
    <d v="1982-04-23T00:00:00"/>
    <n v="44"/>
    <x v="168"/>
    <d v="2025-09-23T00:00:00"/>
    <x v="3"/>
    <x v="2"/>
    <x v="4"/>
    <x v="0"/>
    <x v="1"/>
    <x v="188"/>
    <x v="1"/>
    <x v="1"/>
    <x v="0"/>
  </r>
  <r>
    <d v="1964-10-02T00:00:00"/>
    <n v="62"/>
    <x v="169"/>
    <d v="2025-11-07T00:00:00"/>
    <x v="10"/>
    <x v="1"/>
    <x v="4"/>
    <x v="0"/>
    <x v="0"/>
    <x v="189"/>
    <x v="0"/>
    <x v="0"/>
    <x v="1"/>
  </r>
  <r>
    <d v="1955-09-06T00:00:00"/>
    <n v="71"/>
    <x v="170"/>
    <d v="2026-04-07T00:00:00"/>
    <x v="10"/>
    <x v="3"/>
    <x v="3"/>
    <x v="0"/>
    <x v="3"/>
    <x v="190"/>
    <x v="1"/>
    <x v="1"/>
    <x v="0"/>
  </r>
  <r>
    <d v="2004-09-23T00:00:00"/>
    <n v="22"/>
    <x v="171"/>
    <d v="2024-12-09T00:00:00"/>
    <x v="11"/>
    <x v="4"/>
    <x v="2"/>
    <x v="1"/>
    <x v="0"/>
    <x v="191"/>
    <x v="2"/>
    <x v="1"/>
    <x v="1"/>
  </r>
  <r>
    <d v="2004-12-03T00:00:00"/>
    <n v="22"/>
    <x v="172"/>
    <d v="2024-11-15T00:00:00"/>
    <x v="9"/>
    <x v="2"/>
    <x v="2"/>
    <x v="1"/>
    <x v="1"/>
    <x v="192"/>
    <x v="1"/>
    <x v="1"/>
    <x v="0"/>
  </r>
  <r>
    <d v="1988-08-13T00:00:00"/>
    <n v="38"/>
    <x v="173"/>
    <d v="2025-09-30T00:00:00"/>
    <x v="18"/>
    <x v="4"/>
    <x v="2"/>
    <x v="0"/>
    <x v="3"/>
    <x v="193"/>
    <x v="2"/>
    <x v="1"/>
    <x v="1"/>
  </r>
  <r>
    <d v="1970-09-06T00:00:00"/>
    <n v="56"/>
    <x v="174"/>
    <d v="2024-10-17T00:00:00"/>
    <x v="14"/>
    <x v="4"/>
    <x v="2"/>
    <x v="2"/>
    <x v="0"/>
    <x v="194"/>
    <x v="2"/>
    <x v="1"/>
    <x v="0"/>
  </r>
  <r>
    <d v="1971-04-21T00:00:00"/>
    <n v="55"/>
    <x v="175"/>
    <d v="2026-02-21T00:00:00"/>
    <x v="5"/>
    <x v="2"/>
    <x v="2"/>
    <x v="0"/>
    <x v="1"/>
    <x v="195"/>
    <x v="0"/>
    <x v="0"/>
    <x v="1"/>
  </r>
  <r>
    <d v="1994-04-13T00:00:00"/>
    <n v="32"/>
    <x v="176"/>
    <d v="2025-12-11T00:00:00"/>
    <x v="8"/>
    <x v="4"/>
    <x v="3"/>
    <x v="2"/>
    <x v="2"/>
    <x v="196"/>
    <x v="2"/>
    <x v="1"/>
    <x v="1"/>
  </r>
  <r>
    <d v="2004-09-20T00:00:00"/>
    <n v="22"/>
    <x v="46"/>
    <d v="2024-12-23T00:00:00"/>
    <x v="16"/>
    <x v="2"/>
    <x v="0"/>
    <x v="2"/>
    <x v="1"/>
    <x v="197"/>
    <x v="2"/>
    <x v="1"/>
    <x v="0"/>
  </r>
  <r>
    <d v="2004-02-10T00:00:00"/>
    <n v="23"/>
    <x v="168"/>
    <d v="2025-09-09T00:00:00"/>
    <x v="18"/>
    <x v="3"/>
    <x v="4"/>
    <x v="0"/>
    <x v="2"/>
    <x v="198"/>
    <x v="0"/>
    <x v="0"/>
    <x v="0"/>
  </r>
  <r>
    <d v="1997-07-27T00:00:00"/>
    <n v="29"/>
    <x v="177"/>
    <d v="2025-09-16T00:00:00"/>
    <x v="16"/>
    <x v="2"/>
    <x v="2"/>
    <x v="0"/>
    <x v="0"/>
    <x v="199"/>
    <x v="2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Femenino"/>
    <d v="1972-11-05T00:00:00"/>
    <n v="54"/>
    <x v="0"/>
    <d v="2025-06-19T00:00:00"/>
    <n v="9"/>
    <s v="Chequeo general"/>
    <x v="0"/>
    <x v="0"/>
    <s v="Dr. Gómez"/>
    <n v="42428.08"/>
    <s v="Seguro"/>
    <s v="Sí"/>
    <s v="Alta médica"/>
  </r>
  <r>
    <x v="1"/>
    <s v="Femenino"/>
    <d v="2007-12-28T00:00:00"/>
    <n v="19"/>
    <x v="1"/>
    <d v="2024-03-26T00:00:00"/>
    <n v="17"/>
    <s v="Lesión musculoesquelética"/>
    <x v="1"/>
    <x v="1"/>
    <s v="Dr. Gómez"/>
    <n v="37467.49"/>
    <s v="Efectivo"/>
    <s v="No"/>
    <s v="Alta médica"/>
  </r>
  <r>
    <x v="2"/>
    <s v="Femenino"/>
    <d v="1994-08-26T00:00:00"/>
    <n v="32"/>
    <x v="2"/>
    <d v="2024-05-29T00:00:00"/>
    <n v="17"/>
    <s v="Infección respiratoria"/>
    <x v="0"/>
    <x v="0"/>
    <s v="Dr. Gómez"/>
    <n v="30513.26"/>
    <s v="Tarjeta"/>
    <s v="No"/>
    <s v="Referencia externa"/>
  </r>
  <r>
    <x v="3"/>
    <s v="Femenino"/>
    <d v="1986-07-08T00:00:00"/>
    <n v="40"/>
    <x v="3"/>
    <d v="2026-01-26T00:00:00"/>
    <n v="20"/>
    <s v="Hipertensión"/>
    <x v="0"/>
    <x v="2"/>
    <s v="Dra. Martínez"/>
    <n v="26607.56"/>
    <s v="Efectivo"/>
    <s v="No"/>
    <s v="Referencia externa"/>
  </r>
  <r>
    <x v="4"/>
    <s v="Masculino"/>
    <d v="1959-07-08T00:00:00"/>
    <n v="67"/>
    <x v="4"/>
    <d v="2025-05-28T00:00:00"/>
    <n v="16"/>
    <s v="Infección respiratoria"/>
    <x v="2"/>
    <x v="1"/>
    <s v="Dr. López"/>
    <n v="16662.95"/>
    <s v="Efectivo"/>
    <s v="No"/>
    <s v="Alta médica"/>
  </r>
  <r>
    <x v="5"/>
    <s v="Masculino"/>
    <d v="1959-07-08T00:00:00"/>
    <n v="67"/>
    <x v="5"/>
    <d v="2024-01-21T00:00:00"/>
    <n v="13"/>
    <s v="Infección respiratoria"/>
    <x v="1"/>
    <x v="0"/>
    <s v="Dra. Hernández"/>
    <n v="8429"/>
    <s v="Seguro"/>
    <s v="Sí"/>
    <s v="Referencia externa"/>
  </r>
  <r>
    <x v="6"/>
    <s v="Masculino"/>
    <d v="1953-07-18T00:00:00"/>
    <n v="73"/>
    <x v="6"/>
    <d v="2024-04-12T00:00:00"/>
    <n v="19"/>
    <s v="Chequeo general"/>
    <x v="3"/>
    <x v="1"/>
    <s v="Dra. Hernández"/>
    <n v="27815.5"/>
    <s v="Efectivo"/>
    <s v="No"/>
    <s v="Alta médica"/>
  </r>
  <r>
    <x v="7"/>
    <s v="Masculino"/>
    <d v="2002-11-01T00:00:00"/>
    <n v="24"/>
    <x v="7"/>
    <d v="2025-07-15T00:00:00"/>
    <n v="17"/>
    <s v="Lesión musculoesquelética"/>
    <x v="2"/>
    <x v="2"/>
    <s v="Dr. Gómez"/>
    <n v="15337.85"/>
    <s v="Seguro"/>
    <s v="Sí"/>
    <s v="Alta médica"/>
  </r>
  <r>
    <x v="8"/>
    <s v="Femenino"/>
    <d v="1986-09-01T00:00:00"/>
    <n v="40"/>
    <x v="8"/>
    <d v="2024-01-09T00:00:00"/>
    <n v="4"/>
    <s v="Diabetes"/>
    <x v="2"/>
    <x v="2"/>
    <s v="Dra. Martínez"/>
    <n v="39190.080000000002"/>
    <s v="Tarjeta"/>
    <s v="No"/>
    <s v="Referencia externa"/>
  </r>
  <r>
    <x v="9"/>
    <s v="Femenino"/>
    <d v="1993-03-11T00:00:00"/>
    <n v="34"/>
    <x v="9"/>
    <d v="2024-05-23T00:00:00"/>
    <n v="12"/>
    <s v="Lesión musculoesquelética"/>
    <x v="3"/>
    <x v="0"/>
    <s v="Dra. Martínez"/>
    <n v="44710.16"/>
    <s v="Seguro"/>
    <s v="Sí"/>
    <s v="Referencia externa"/>
  </r>
  <r>
    <x v="10"/>
    <s v="Masculino"/>
    <d v="1951-04-04T00:00:00"/>
    <n v="75"/>
    <x v="10"/>
    <d v="2025-04-03T00:00:00"/>
    <n v="9"/>
    <s v="Lesión musculoesquelética"/>
    <x v="0"/>
    <x v="2"/>
    <s v="Dra. Martínez"/>
    <n v="34230.61"/>
    <s v="Efectivo"/>
    <s v="No"/>
    <s v="Alta médica"/>
  </r>
  <r>
    <x v="11"/>
    <s v="Femenino"/>
    <d v="2009-02-28T00:00:00"/>
    <n v="18"/>
    <x v="11"/>
    <d v="2025-08-09T00:00:00"/>
    <n v="19"/>
    <s v="Infección respiratoria"/>
    <x v="4"/>
    <x v="1"/>
    <s v="Dra. Hernández"/>
    <n v="5435.95"/>
    <s v="Efectivo"/>
    <s v="No"/>
    <s v="Alta médica"/>
  </r>
  <r>
    <x v="12"/>
    <s v="Masculino"/>
    <d v="2000-10-10T00:00:00"/>
    <n v="26"/>
    <x v="12"/>
    <d v="2025-06-30T00:00:00"/>
    <n v="12"/>
    <s v="Lesión musculoesquelética"/>
    <x v="1"/>
    <x v="2"/>
    <s v="Dr. Gómez"/>
    <n v="14057.82"/>
    <s v="Seguro"/>
    <s v="Sí"/>
    <s v="Alta médica"/>
  </r>
  <r>
    <x v="13"/>
    <s v="Femenino"/>
    <d v="1962-12-14T00:00:00"/>
    <n v="64"/>
    <x v="13"/>
    <d v="2024-07-11T00:00:00"/>
    <n v="9"/>
    <s v="Hipertensión"/>
    <x v="4"/>
    <x v="1"/>
    <s v="Dr. López"/>
    <n v="6246.27"/>
    <s v="Seguro"/>
    <s v="Sí"/>
    <s v="Alta médica"/>
  </r>
  <r>
    <x v="14"/>
    <s v="Masculino"/>
    <d v="1961-02-02T00:00:00"/>
    <n v="66"/>
    <x v="14"/>
    <d v="2025-08-13T00:00:00"/>
    <n v="7"/>
    <s v="Infección respiratoria"/>
    <x v="3"/>
    <x v="1"/>
    <s v="Dra. Hernández"/>
    <n v="29797.26"/>
    <s v="Efectivo"/>
    <s v="No"/>
    <s v="Referencia externa"/>
  </r>
  <r>
    <x v="15"/>
    <s v="Femenino"/>
    <d v="1961-03-10T00:00:00"/>
    <n v="66"/>
    <x v="15"/>
    <d v="2024-07-27T00:00:00"/>
    <n v="14"/>
    <s v="Hipertensión"/>
    <x v="2"/>
    <x v="2"/>
    <s v="Dr. Gómez"/>
    <n v="34785.800000000003"/>
    <s v="Tarjeta"/>
    <s v="No"/>
    <s v="Referencia externa"/>
  </r>
  <r>
    <x v="16"/>
    <s v="Femenino"/>
    <d v="1968-07-23T00:00:00"/>
    <n v="58"/>
    <x v="16"/>
    <d v="2024-10-13T00:00:00"/>
    <n v="20"/>
    <s v="Diabetes"/>
    <x v="2"/>
    <x v="0"/>
    <s v="Dr. Gómez"/>
    <n v="41766.86"/>
    <s v="Tarjeta"/>
    <s v="No"/>
    <s v="Referencia externa"/>
  </r>
  <r>
    <x v="17"/>
    <s v="Masculino"/>
    <d v="1982-01-04T00:00:00"/>
    <n v="45"/>
    <x v="17"/>
    <d v="2025-09-23T00:00:00"/>
    <n v="19"/>
    <s v="Infección respiratoria"/>
    <x v="1"/>
    <x v="2"/>
    <s v="Dr. López"/>
    <n v="20560.5"/>
    <s v="Seguro"/>
    <s v="Sí"/>
    <s v="Referencia externa"/>
  </r>
  <r>
    <x v="18"/>
    <s v="Femenino"/>
    <d v="1976-05-07T00:00:00"/>
    <n v="50"/>
    <x v="18"/>
    <d v="2025-07-01T00:00:00"/>
    <n v="15"/>
    <s v="Diabetes"/>
    <x v="2"/>
    <x v="1"/>
    <s v="Dr. López"/>
    <n v="40709.839999999997"/>
    <s v="Tarjeta"/>
    <s v="No"/>
    <s v="Referencia externa"/>
  </r>
  <r>
    <x v="19"/>
    <s v="Masculino"/>
    <d v="1967-10-07T00:00:00"/>
    <n v="59"/>
    <x v="19"/>
    <d v="2025-12-13T00:00:00"/>
    <n v="16"/>
    <s v="Infección respiratoria"/>
    <x v="2"/>
    <x v="1"/>
    <s v="Dr. López"/>
    <n v="39688.269999999997"/>
    <s v="Efectivo"/>
    <s v="No"/>
    <s v="Alta médica"/>
  </r>
  <r>
    <x v="20"/>
    <s v="Masculino"/>
    <d v="1987-04-28T00:00:00"/>
    <n v="39"/>
    <x v="20"/>
    <d v="2025-06-28T00:00:00"/>
    <n v="5"/>
    <s v="Chequeo general"/>
    <x v="1"/>
    <x v="2"/>
    <s v="Dra. Martínez"/>
    <n v="15298.01"/>
    <s v="Seguro"/>
    <s v="Sí"/>
    <s v="Referencia externa"/>
  </r>
  <r>
    <x v="21"/>
    <s v="Masculino"/>
    <d v="1958-07-05T00:00:00"/>
    <n v="68"/>
    <x v="21"/>
    <d v="2025-04-14T00:00:00"/>
    <n v="3"/>
    <s v="Lesión musculoesquelética"/>
    <x v="1"/>
    <x v="0"/>
    <s v="Dr. López"/>
    <n v="39297.18"/>
    <s v="Efectivo"/>
    <s v="No"/>
    <s v="Referencia externa"/>
  </r>
  <r>
    <x v="22"/>
    <s v="Masculino"/>
    <d v="1967-10-27T00:00:00"/>
    <n v="59"/>
    <x v="22"/>
    <d v="2024-03-29T00:00:00"/>
    <n v="12"/>
    <s v="Chequeo general"/>
    <x v="3"/>
    <x v="0"/>
    <s v="Dr. Gómez"/>
    <n v="17841.740000000002"/>
    <s v="Efectivo"/>
    <s v="No"/>
    <s v="Referencia externa"/>
  </r>
  <r>
    <x v="23"/>
    <s v="Femenino"/>
    <d v="1972-05-07T00:00:00"/>
    <n v="54"/>
    <x v="23"/>
    <d v="2024-11-17T00:00:00"/>
    <n v="20"/>
    <s v="Diabetes"/>
    <x v="2"/>
    <x v="1"/>
    <s v="Dr. López"/>
    <n v="14413.81"/>
    <s v="Tarjeta"/>
    <s v="No"/>
    <s v="Referencia externa"/>
  </r>
  <r>
    <x v="24"/>
    <s v="Femenino"/>
    <d v="1977-10-26T00:00:00"/>
    <n v="49"/>
    <x v="24"/>
    <d v="2024-08-09T00:00:00"/>
    <n v="4"/>
    <s v="Lesión musculoesquelética"/>
    <x v="2"/>
    <x v="1"/>
    <s v="Dr. Gómez"/>
    <n v="29734.75"/>
    <s v="Seguro"/>
    <s v="Sí"/>
    <s v="Referencia externa"/>
  </r>
  <r>
    <x v="25"/>
    <s v="Femenino"/>
    <d v="1997-11-22T00:00:00"/>
    <n v="29"/>
    <x v="25"/>
    <d v="2024-08-04T00:00:00"/>
    <n v="16"/>
    <s v="Infección respiratoria"/>
    <x v="3"/>
    <x v="0"/>
    <s v="Dra. Hernández"/>
    <n v="15784.58"/>
    <s v="Seguro"/>
    <s v="Sí"/>
    <s v="Alta médica"/>
  </r>
  <r>
    <x v="26"/>
    <s v="Masculino"/>
    <d v="1962-03-07T00:00:00"/>
    <n v="65"/>
    <x v="26"/>
    <d v="2026-03-15T00:00:00"/>
    <n v="7"/>
    <s v="Lesión musculoesquelética"/>
    <x v="0"/>
    <x v="2"/>
    <s v="Dra. Martínez"/>
    <n v="28914.080000000002"/>
    <s v="Tarjeta"/>
    <s v="No"/>
    <s v="Alta médica"/>
  </r>
  <r>
    <x v="27"/>
    <s v="Femenino"/>
    <d v="1981-05-14T00:00:00"/>
    <n v="45"/>
    <x v="27"/>
    <d v="2024-12-01T00:00:00"/>
    <n v="13"/>
    <s v="Hipertensión"/>
    <x v="0"/>
    <x v="1"/>
    <s v="Dra. Hernández"/>
    <n v="28027.68"/>
    <s v="Efectivo"/>
    <s v="No"/>
    <s v="Alta médica"/>
  </r>
  <r>
    <x v="28"/>
    <s v="Masculino"/>
    <d v="1986-02-19T00:00:00"/>
    <n v="41"/>
    <x v="28"/>
    <d v="2026-01-11T00:00:00"/>
    <n v="10"/>
    <s v="Lesión musculoesquelética"/>
    <x v="0"/>
    <x v="1"/>
    <s v="Dra. Hernández"/>
    <n v="26009.59"/>
    <s v="Efectivo"/>
    <s v="No"/>
    <s v="Referencia externa"/>
  </r>
  <r>
    <x v="29"/>
    <s v="Femenino"/>
    <d v="1952-10-31T00:00:00"/>
    <n v="74"/>
    <x v="29"/>
    <d v="2025-06-08T00:00:00"/>
    <n v="7"/>
    <s v="Hipertensión"/>
    <x v="3"/>
    <x v="0"/>
    <s v="Dr. Gómez"/>
    <n v="18048.259999999998"/>
    <s v="Efectivo"/>
    <s v="No"/>
    <s v="Alta médica"/>
  </r>
  <r>
    <x v="30"/>
    <s v="Femenino"/>
    <d v="1987-01-22T00:00:00"/>
    <n v="40"/>
    <x v="30"/>
    <d v="2025-10-27T00:00:00"/>
    <n v="14"/>
    <s v="Lesión musculoesquelética"/>
    <x v="2"/>
    <x v="2"/>
    <s v="Dra. Hernández"/>
    <n v="25359.74"/>
    <s v="Efectivo"/>
    <s v="No"/>
    <s v="Alta médica"/>
  </r>
  <r>
    <x v="31"/>
    <s v="Femenino"/>
    <d v="1960-05-27T00:00:00"/>
    <n v="66"/>
    <x v="31"/>
    <d v="2025-02-21T00:00:00"/>
    <n v="5"/>
    <s v="Hipertensión"/>
    <x v="3"/>
    <x v="0"/>
    <s v="Dr. Gómez"/>
    <n v="27447.119999999999"/>
    <s v="Seguro"/>
    <s v="Sí"/>
    <s v="Referencia externa"/>
  </r>
  <r>
    <x v="32"/>
    <s v="Masculino"/>
    <d v="1953-12-20T00:00:00"/>
    <n v="73"/>
    <x v="32"/>
    <d v="2025-04-21T00:00:00"/>
    <n v="3"/>
    <s v="Diabetes"/>
    <x v="3"/>
    <x v="2"/>
    <s v="Dr. López"/>
    <n v="25237.38"/>
    <s v="Seguro"/>
    <s v="Sí"/>
    <s v="Referencia externa"/>
  </r>
  <r>
    <x v="33"/>
    <s v="Femenino"/>
    <d v="2007-11-18T00:00:00"/>
    <n v="19"/>
    <x v="33"/>
    <d v="2025-02-18T00:00:00"/>
    <n v="11"/>
    <s v="Chequeo general"/>
    <x v="0"/>
    <x v="2"/>
    <s v="Dr. López"/>
    <n v="20832.25"/>
    <s v="Tarjeta"/>
    <s v="No"/>
    <s v="Referencia externa"/>
  </r>
  <r>
    <x v="34"/>
    <s v="Femenino"/>
    <d v="2008-11-25T00:00:00"/>
    <n v="18"/>
    <x v="34"/>
    <d v="2024-06-20T00:00:00"/>
    <n v="11"/>
    <s v="Infección respiratoria"/>
    <x v="4"/>
    <x v="2"/>
    <s v="Dr. Gómez"/>
    <n v="2138.02"/>
    <s v="Tarjeta"/>
    <s v="No"/>
    <s v="Alta médica"/>
  </r>
  <r>
    <x v="35"/>
    <s v="Masculino"/>
    <d v="1999-04-24T00:00:00"/>
    <n v="27"/>
    <x v="35"/>
    <d v="2025-09-02T00:00:00"/>
    <n v="18"/>
    <s v="Lesión musculoesquelética"/>
    <x v="2"/>
    <x v="1"/>
    <s v="Dr. López"/>
    <n v="27037.18"/>
    <s v="Seguro"/>
    <s v="Sí"/>
    <s v="Alta médica"/>
  </r>
  <r>
    <x v="36"/>
    <s v="Femenino"/>
    <d v="1968-07-31T00:00:00"/>
    <n v="58"/>
    <x v="36"/>
    <d v="2024-09-02T00:00:00"/>
    <n v="15"/>
    <s v="Chequeo general"/>
    <x v="0"/>
    <x v="0"/>
    <s v="Dra. Martínez"/>
    <n v="8827.33"/>
    <s v="Seguro"/>
    <s v="Sí"/>
    <s v="Referencia externa"/>
  </r>
  <r>
    <x v="37"/>
    <s v="Masculino"/>
    <d v="1955-12-17T00:00:00"/>
    <n v="71"/>
    <x v="37"/>
    <d v="2024-02-01T00:00:00"/>
    <n v="12"/>
    <s v="Infección respiratoria"/>
    <x v="4"/>
    <x v="0"/>
    <s v="Dra. Hernández"/>
    <n v="29452.05"/>
    <s v="Efectivo"/>
    <s v="No"/>
    <s v="Referencia externa"/>
  </r>
  <r>
    <x v="38"/>
    <s v="Femenino"/>
    <d v="1991-09-27T00:00:00"/>
    <n v="35"/>
    <x v="38"/>
    <d v="2025-06-22T00:00:00"/>
    <n v="9"/>
    <s v="Infección respiratoria"/>
    <x v="4"/>
    <x v="2"/>
    <s v="Dra. Martínez"/>
    <n v="34531.480000000003"/>
    <s v="Efectivo"/>
    <s v="No"/>
    <s v="Alta médica"/>
  </r>
  <r>
    <x v="39"/>
    <s v="Masculino"/>
    <d v="1976-11-06T00:00:00"/>
    <n v="50"/>
    <x v="39"/>
    <d v="2024-06-04T00:00:00"/>
    <n v="10"/>
    <s v="Hipertensión"/>
    <x v="1"/>
    <x v="1"/>
    <s v="Dra. Hernández"/>
    <n v="23269.37"/>
    <s v="Tarjeta"/>
    <s v="No"/>
    <s v="Alta médica"/>
  </r>
  <r>
    <x v="40"/>
    <s v="Masculino"/>
    <d v="1957-06-11T00:00:00"/>
    <n v="69"/>
    <x v="40"/>
    <d v="2026-02-22T00:00:00"/>
    <n v="12"/>
    <s v="Diabetes"/>
    <x v="2"/>
    <x v="1"/>
    <s v="Dr. López"/>
    <n v="25092.82"/>
    <s v="Seguro"/>
    <s v="Sí"/>
    <s v="Referencia externa"/>
  </r>
  <r>
    <x v="41"/>
    <s v="Femenino"/>
    <d v="1980-03-16T00:00:00"/>
    <n v="47"/>
    <x v="41"/>
    <d v="2026-03-10T00:00:00"/>
    <n v="17"/>
    <s v="Diabetes"/>
    <x v="4"/>
    <x v="0"/>
    <s v="Dra. Martínez"/>
    <n v="42889.32"/>
    <s v="Tarjeta"/>
    <s v="No"/>
    <s v="Referencia externa"/>
  </r>
  <r>
    <x v="42"/>
    <s v="Masculino"/>
    <d v="1952-02-06T00:00:00"/>
    <n v="75"/>
    <x v="42"/>
    <d v="2026-01-26T00:00:00"/>
    <n v="6"/>
    <s v="Chequeo general"/>
    <x v="0"/>
    <x v="1"/>
    <s v="Dr. López"/>
    <n v="38351.78"/>
    <s v="Seguro"/>
    <s v="Sí"/>
    <s v="Alta médica"/>
  </r>
  <r>
    <x v="43"/>
    <s v="Masculino"/>
    <d v="2005-06-19T00:00:00"/>
    <n v="21"/>
    <x v="43"/>
    <d v="2024-11-06T00:00:00"/>
    <n v="7"/>
    <s v="Diabetes"/>
    <x v="1"/>
    <x v="1"/>
    <s v="Dra. Hernández"/>
    <n v="41269.29"/>
    <s v="Efectivo"/>
    <s v="No"/>
    <s v="Referencia externa"/>
  </r>
  <r>
    <x v="44"/>
    <s v="Masculino"/>
    <d v="1965-10-14T00:00:00"/>
    <n v="61"/>
    <x v="44"/>
    <d v="2024-01-27T00:00:00"/>
    <n v="14"/>
    <s v="Lesión musculoesquelética"/>
    <x v="2"/>
    <x v="2"/>
    <s v="Dr. Gómez"/>
    <n v="36898.83"/>
    <s v="Tarjeta"/>
    <s v="No"/>
    <s v="Alta médica"/>
  </r>
  <r>
    <x v="45"/>
    <s v="Masculino"/>
    <d v="1990-05-31T00:00:00"/>
    <n v="36"/>
    <x v="45"/>
    <d v="2026-02-13T00:00:00"/>
    <n v="13"/>
    <s v="Diabetes"/>
    <x v="3"/>
    <x v="1"/>
    <s v="Dr. Gómez"/>
    <n v="6237.95"/>
    <s v="Tarjeta"/>
    <s v="No"/>
    <s v="Alta médica"/>
  </r>
  <r>
    <x v="46"/>
    <s v="Masculino"/>
    <d v="1969-01-05T00:00:00"/>
    <n v="58"/>
    <x v="46"/>
    <d v="2024-12-25T00:00:00"/>
    <n v="8"/>
    <s v="Chequeo general"/>
    <x v="0"/>
    <x v="2"/>
    <s v="Dra. Martínez"/>
    <n v="7981.15"/>
    <s v="Seguro"/>
    <s v="Sí"/>
    <s v="Alta médica"/>
  </r>
  <r>
    <x v="47"/>
    <s v="Masculino"/>
    <d v="1981-09-21T00:00:00"/>
    <n v="45"/>
    <x v="47"/>
    <d v="2026-03-13T00:00:00"/>
    <n v="10"/>
    <s v="Diabetes"/>
    <x v="4"/>
    <x v="0"/>
    <s v="Dr. López"/>
    <n v="24408.14"/>
    <s v="Efectivo"/>
    <s v="No"/>
    <s v="Alta médica"/>
  </r>
  <r>
    <x v="48"/>
    <s v="Femenino"/>
    <d v="1983-05-08T00:00:00"/>
    <n v="43"/>
    <x v="48"/>
    <d v="2026-03-10T00:00:00"/>
    <n v="9"/>
    <s v="Lesión musculoesquelética"/>
    <x v="4"/>
    <x v="1"/>
    <s v="Dr. López"/>
    <n v="12204.03"/>
    <s v="Tarjeta"/>
    <s v="No"/>
    <s v="Referencia externa"/>
  </r>
  <r>
    <x v="49"/>
    <s v="Masculino"/>
    <d v="1961-04-11T00:00:00"/>
    <n v="65"/>
    <x v="49"/>
    <d v="2025-12-18T00:00:00"/>
    <n v="18"/>
    <s v="Hipertensión"/>
    <x v="0"/>
    <x v="0"/>
    <s v="Dra. Martínez"/>
    <n v="22236.25"/>
    <s v="Efectivo"/>
    <s v="No"/>
    <s v="Referencia externa"/>
  </r>
  <r>
    <x v="50"/>
    <s v="Masculino"/>
    <d v="2009-02-21T00:00:00"/>
    <n v="18"/>
    <x v="50"/>
    <d v="2024-08-31T00:00:00"/>
    <n v="2"/>
    <s v="Chequeo general"/>
    <x v="4"/>
    <x v="0"/>
    <s v="Dr. Gómez"/>
    <n v="18654.89"/>
    <s v="Tarjeta"/>
    <s v="No"/>
    <s v="Alta médica"/>
  </r>
  <r>
    <x v="51"/>
    <s v="Femenino"/>
    <d v="1997-04-13T00:00:00"/>
    <n v="29"/>
    <x v="51"/>
    <d v="2024-11-16T00:00:00"/>
    <n v="5"/>
    <s v="Hipertensión"/>
    <x v="1"/>
    <x v="1"/>
    <s v="Dra. Hernández"/>
    <n v="25399.52"/>
    <s v="Efectivo"/>
    <s v="No"/>
    <s v="Alta médica"/>
  </r>
  <r>
    <x v="52"/>
    <s v="Femenino"/>
    <d v="2007-04-23T00:00:00"/>
    <n v="19"/>
    <x v="52"/>
    <d v="2025-12-03T00:00:00"/>
    <n v="5"/>
    <s v="Hipertensión"/>
    <x v="2"/>
    <x v="1"/>
    <s v="Dra. Martínez"/>
    <n v="33989.089999999997"/>
    <s v="Seguro"/>
    <s v="Sí"/>
    <s v="Alta médica"/>
  </r>
  <r>
    <x v="53"/>
    <s v="Femenino"/>
    <d v="2004-07-31T00:00:00"/>
    <n v="22"/>
    <x v="53"/>
    <d v="2024-09-22T00:00:00"/>
    <n v="6"/>
    <s v="Hipertensión"/>
    <x v="1"/>
    <x v="0"/>
    <s v="Dra. Hernández"/>
    <n v="32623.85"/>
    <s v="Tarjeta"/>
    <s v="No"/>
    <s v="Alta médica"/>
  </r>
  <r>
    <x v="54"/>
    <s v="Femenino"/>
    <d v="1986-06-21T00:00:00"/>
    <n v="40"/>
    <x v="54"/>
    <d v="2024-06-06T00:00:00"/>
    <n v="19"/>
    <s v="Infección respiratoria"/>
    <x v="4"/>
    <x v="1"/>
    <s v="Dr. Gómez"/>
    <n v="24173.68"/>
    <s v="Tarjeta"/>
    <s v="No"/>
    <s v="Alta médica"/>
  </r>
  <r>
    <x v="55"/>
    <s v="Femenino"/>
    <d v="2006-03-26T00:00:00"/>
    <n v="20"/>
    <x v="55"/>
    <d v="2025-04-09T00:00:00"/>
    <n v="8"/>
    <s v="Infección respiratoria"/>
    <x v="3"/>
    <x v="2"/>
    <s v="Dr. López"/>
    <n v="37274.11"/>
    <s v="Efectivo"/>
    <s v="No"/>
    <s v="Referencia externa"/>
  </r>
  <r>
    <x v="56"/>
    <s v="Femenino"/>
    <d v="1955-05-26T00:00:00"/>
    <n v="71"/>
    <x v="56"/>
    <d v="2026-02-22T00:00:00"/>
    <n v="16"/>
    <s v="Hipertensión"/>
    <x v="2"/>
    <x v="2"/>
    <s v="Dr. Gómez"/>
    <n v="20242.5"/>
    <s v="Efectivo"/>
    <s v="No"/>
    <s v="Referencia externa"/>
  </r>
  <r>
    <x v="57"/>
    <s v="Femenino"/>
    <d v="1961-12-15T00:00:00"/>
    <n v="65"/>
    <x v="57"/>
    <d v="2025-08-06T00:00:00"/>
    <n v="13"/>
    <s v="Chequeo general"/>
    <x v="2"/>
    <x v="1"/>
    <s v="Dra. Martínez"/>
    <n v="40507.07"/>
    <s v="Tarjeta"/>
    <s v="No"/>
    <s v="Referencia externa"/>
  </r>
  <r>
    <x v="58"/>
    <s v="Masculino"/>
    <d v="1952-10-04T00:00:00"/>
    <n v="74"/>
    <x v="58"/>
    <d v="2025-04-13T00:00:00"/>
    <n v="1"/>
    <s v="Lesión musculoesquelética"/>
    <x v="0"/>
    <x v="0"/>
    <s v="Dr. López"/>
    <n v="4600.6899999999996"/>
    <s v="Seguro"/>
    <s v="Sí"/>
    <s v="Referencia externa"/>
  </r>
  <r>
    <x v="59"/>
    <s v="Masculino"/>
    <d v="1969-11-05T00:00:00"/>
    <n v="57"/>
    <x v="59"/>
    <d v="2024-04-09T00:00:00"/>
    <n v="20"/>
    <s v="Lesión musculoesquelética"/>
    <x v="0"/>
    <x v="1"/>
    <s v="Dra. Martínez"/>
    <n v="43027.71"/>
    <s v="Efectivo"/>
    <s v="No"/>
    <s v="Alta médica"/>
  </r>
  <r>
    <x v="60"/>
    <s v="Femenino"/>
    <d v="1973-09-16T00:00:00"/>
    <n v="53"/>
    <x v="60"/>
    <d v="2025-06-05T00:00:00"/>
    <n v="17"/>
    <s v="Diabetes"/>
    <x v="3"/>
    <x v="1"/>
    <s v="Dra. Martínez"/>
    <n v="29979.15"/>
    <s v="Efectivo"/>
    <s v="No"/>
    <s v="Alta médica"/>
  </r>
  <r>
    <x v="61"/>
    <s v="Masculino"/>
    <d v="1966-07-21T00:00:00"/>
    <n v="60"/>
    <x v="61"/>
    <d v="2026-03-29T00:00:00"/>
    <n v="7"/>
    <s v="Chequeo general"/>
    <x v="2"/>
    <x v="0"/>
    <s v="Dr. Gómez"/>
    <n v="18033.240000000002"/>
    <s v="Efectivo"/>
    <s v="No"/>
    <s v="Alta médica"/>
  </r>
  <r>
    <x v="62"/>
    <s v="Masculino"/>
    <d v="2000-07-20T00:00:00"/>
    <n v="26"/>
    <x v="62"/>
    <d v="2024-05-07T00:00:00"/>
    <n v="13"/>
    <s v="Infección respiratoria"/>
    <x v="3"/>
    <x v="0"/>
    <s v="Dra. Martínez"/>
    <n v="10076.200000000001"/>
    <s v="Tarjeta"/>
    <s v="No"/>
    <s v="Alta médica"/>
  </r>
  <r>
    <x v="63"/>
    <s v="Masculino"/>
    <d v="1971-10-06T00:00:00"/>
    <n v="55"/>
    <x v="63"/>
    <d v="2025-03-05T00:00:00"/>
    <n v="4"/>
    <s v="Hipertensión"/>
    <x v="0"/>
    <x v="2"/>
    <s v="Dr. Gómez"/>
    <n v="22344.47"/>
    <s v="Tarjeta"/>
    <s v="No"/>
    <s v="Alta médica"/>
  </r>
  <r>
    <x v="64"/>
    <s v="Femenino"/>
    <d v="1967-02-19T00:00:00"/>
    <n v="60"/>
    <x v="64"/>
    <d v="2025-12-24T00:00:00"/>
    <n v="4"/>
    <s v="Diabetes"/>
    <x v="0"/>
    <x v="0"/>
    <s v="Dr. López"/>
    <n v="9963.2900000000009"/>
    <s v="Tarjeta"/>
    <s v="No"/>
    <s v="Referencia externa"/>
  </r>
  <r>
    <x v="65"/>
    <s v="Femenino"/>
    <d v="1983-02-07T00:00:00"/>
    <n v="44"/>
    <x v="65"/>
    <d v="2025-09-05T00:00:00"/>
    <n v="6"/>
    <s v="Lesión musculoesquelética"/>
    <x v="2"/>
    <x v="2"/>
    <s v="Dr. Gómez"/>
    <n v="8735.42"/>
    <s v="Tarjeta"/>
    <s v="No"/>
    <s v="Alta médica"/>
  </r>
  <r>
    <x v="66"/>
    <s v="Masculino"/>
    <d v="1958-08-06T00:00:00"/>
    <n v="68"/>
    <x v="66"/>
    <d v="2025-08-13T00:00:00"/>
    <n v="19"/>
    <s v="Infección respiratoria"/>
    <x v="1"/>
    <x v="0"/>
    <s v="Dr. López"/>
    <n v="28354.799999999999"/>
    <s v="Seguro"/>
    <s v="Sí"/>
    <s v="Referencia externa"/>
  </r>
  <r>
    <x v="67"/>
    <s v="Femenino"/>
    <d v="1998-12-07T00:00:00"/>
    <n v="28"/>
    <x v="67"/>
    <d v="2025-08-11T00:00:00"/>
    <n v="12"/>
    <s v="Infección respiratoria"/>
    <x v="4"/>
    <x v="1"/>
    <s v="Dr. Gómez"/>
    <n v="24254.19"/>
    <s v="Seguro"/>
    <s v="Sí"/>
    <s v="Referencia externa"/>
  </r>
  <r>
    <x v="68"/>
    <s v="Masculino"/>
    <d v="1954-07-19T00:00:00"/>
    <n v="72"/>
    <x v="68"/>
    <d v="2024-10-28T00:00:00"/>
    <n v="7"/>
    <s v="Hipertensión"/>
    <x v="0"/>
    <x v="2"/>
    <s v="Dra. Hernández"/>
    <n v="30649.18"/>
    <s v="Tarjeta"/>
    <s v="No"/>
    <s v="Referencia externa"/>
  </r>
  <r>
    <x v="69"/>
    <s v="Masculino"/>
    <d v="2010-03-13T00:00:00"/>
    <n v="17"/>
    <x v="69"/>
    <d v="2024-09-07T00:00:00"/>
    <n v="10"/>
    <s v="Lesión musculoesquelética"/>
    <x v="0"/>
    <x v="2"/>
    <s v="Dra. Hernández"/>
    <n v="41937.86"/>
    <s v="Seguro"/>
    <s v="Sí"/>
    <s v="Referencia externa"/>
  </r>
  <r>
    <x v="70"/>
    <s v="Masculino"/>
    <d v="1997-02-07T00:00:00"/>
    <n v="30"/>
    <x v="70"/>
    <d v="2025-11-13T00:00:00"/>
    <n v="19"/>
    <s v="Chequeo general"/>
    <x v="1"/>
    <x v="2"/>
    <s v="Dra. Martínez"/>
    <n v="24653.32"/>
    <s v="Efectivo"/>
    <s v="No"/>
    <s v="Alta médica"/>
  </r>
  <r>
    <x v="71"/>
    <s v="Masculino"/>
    <d v="1962-02-14T00:00:00"/>
    <n v="65"/>
    <x v="71"/>
    <d v="2025-11-02T00:00:00"/>
    <n v="7"/>
    <s v="Infección respiratoria"/>
    <x v="1"/>
    <x v="1"/>
    <s v="Dr. Gómez"/>
    <n v="26770.54"/>
    <s v="Efectivo"/>
    <s v="No"/>
    <s v="Referencia externa"/>
  </r>
  <r>
    <x v="72"/>
    <s v="Femenino"/>
    <d v="1950-05-04T00:00:00"/>
    <n v="76"/>
    <x v="72"/>
    <d v="2025-12-14T00:00:00"/>
    <n v="3"/>
    <s v="Hipertensión"/>
    <x v="3"/>
    <x v="1"/>
    <s v="Dr. Gómez"/>
    <n v="5398.75"/>
    <s v="Efectivo"/>
    <s v="No"/>
    <s v="Referencia externa"/>
  </r>
  <r>
    <x v="73"/>
    <s v="Femenino"/>
    <d v="1999-09-28T00:00:00"/>
    <n v="27"/>
    <x v="73"/>
    <d v="2026-01-31T00:00:00"/>
    <n v="13"/>
    <s v="Chequeo general"/>
    <x v="3"/>
    <x v="1"/>
    <s v="Dr. López"/>
    <n v="32717.16"/>
    <s v="Tarjeta"/>
    <s v="No"/>
    <s v="Referencia externa"/>
  </r>
  <r>
    <x v="74"/>
    <s v="Femenino"/>
    <d v="1993-02-12T00:00:00"/>
    <n v="34"/>
    <x v="74"/>
    <d v="2025-03-08T00:00:00"/>
    <n v="13"/>
    <s v="Lesión musculoesquelética"/>
    <x v="4"/>
    <x v="1"/>
    <s v="Dra. Martínez"/>
    <n v="18895.88"/>
    <s v="Efectivo"/>
    <s v="No"/>
    <s v="Alta médica"/>
  </r>
  <r>
    <x v="75"/>
    <s v="Masculino"/>
    <d v="1994-06-20T00:00:00"/>
    <n v="32"/>
    <x v="75"/>
    <d v="2025-03-05T00:00:00"/>
    <n v="18"/>
    <s v="Infección respiratoria"/>
    <x v="4"/>
    <x v="1"/>
    <s v="Dr. Gómez"/>
    <n v="43987.55"/>
    <s v="Seguro"/>
    <s v="Sí"/>
    <s v="Alta médica"/>
  </r>
  <r>
    <x v="76"/>
    <s v="Femenino"/>
    <d v="1997-01-17T00:00:00"/>
    <n v="30"/>
    <x v="76"/>
    <d v="2025-11-05T00:00:00"/>
    <n v="20"/>
    <s v="Chequeo general"/>
    <x v="2"/>
    <x v="2"/>
    <s v="Dra. Martínez"/>
    <n v="37308.07"/>
    <s v="Tarjeta"/>
    <s v="No"/>
    <s v="Alta médica"/>
  </r>
  <r>
    <x v="77"/>
    <s v="Masculino"/>
    <d v="1954-07-08T00:00:00"/>
    <n v="72"/>
    <x v="18"/>
    <d v="2025-06-24T00:00:00"/>
    <n v="8"/>
    <s v="Chequeo general"/>
    <x v="3"/>
    <x v="1"/>
    <s v="Dra. Hernández"/>
    <n v="24227.93"/>
    <s v="Seguro"/>
    <s v="Sí"/>
    <s v="Referencia externa"/>
  </r>
  <r>
    <x v="78"/>
    <s v="Femenino"/>
    <d v="1971-11-13T00:00:00"/>
    <n v="55"/>
    <x v="77"/>
    <d v="2025-08-07T00:00:00"/>
    <n v="9"/>
    <s v="Chequeo general"/>
    <x v="0"/>
    <x v="2"/>
    <s v="Dr. Gómez"/>
    <n v="6860.19"/>
    <s v="Efectivo"/>
    <s v="No"/>
    <s v="Referencia externa"/>
  </r>
  <r>
    <x v="79"/>
    <s v="Masculino"/>
    <d v="1957-01-25T00:00:00"/>
    <n v="70"/>
    <x v="78"/>
    <d v="2025-10-21T00:00:00"/>
    <n v="7"/>
    <s v="Infección respiratoria"/>
    <x v="3"/>
    <x v="1"/>
    <s v="Dr. Gómez"/>
    <n v="38884.589999999997"/>
    <s v="Efectivo"/>
    <s v="No"/>
    <s v="Alta médica"/>
  </r>
  <r>
    <x v="80"/>
    <s v="Masculino"/>
    <d v="2002-08-25T00:00:00"/>
    <n v="24"/>
    <x v="79"/>
    <d v="2025-12-31T00:00:00"/>
    <n v="1"/>
    <s v="Infección respiratoria"/>
    <x v="0"/>
    <x v="0"/>
    <s v="Dra. Martínez"/>
    <n v="36290.480000000003"/>
    <s v="Efectivo"/>
    <s v="No"/>
    <s v="Referencia externa"/>
  </r>
  <r>
    <x v="81"/>
    <s v="Masculino"/>
    <d v="1988-01-08T00:00:00"/>
    <n v="39"/>
    <x v="80"/>
    <d v="2024-10-07T00:00:00"/>
    <n v="3"/>
    <s v="Diabetes"/>
    <x v="1"/>
    <x v="2"/>
    <s v="Dr. Gómez"/>
    <n v="9529.4500000000007"/>
    <s v="Tarjeta"/>
    <s v="No"/>
    <s v="Alta médica"/>
  </r>
  <r>
    <x v="82"/>
    <s v="Femenino"/>
    <d v="1970-03-09T00:00:00"/>
    <n v="57"/>
    <x v="81"/>
    <d v="2024-11-16T00:00:00"/>
    <n v="13"/>
    <s v="Lesión musculoesquelética"/>
    <x v="3"/>
    <x v="0"/>
    <s v="Dra. Martínez"/>
    <n v="14344.61"/>
    <s v="Seguro"/>
    <s v="Sí"/>
    <s v="Alta médica"/>
  </r>
  <r>
    <x v="83"/>
    <s v="Femenino"/>
    <d v="1953-11-17T00:00:00"/>
    <n v="73"/>
    <x v="82"/>
    <d v="2024-04-04T00:00:00"/>
    <n v="17"/>
    <s v="Hipertensión"/>
    <x v="1"/>
    <x v="2"/>
    <s v="Dr. Gómez"/>
    <n v="36013.22"/>
    <s v="Tarjeta"/>
    <s v="No"/>
    <s v="Referencia externa"/>
  </r>
  <r>
    <x v="84"/>
    <s v="Femenino"/>
    <d v="1968-12-20T00:00:00"/>
    <n v="58"/>
    <x v="83"/>
    <d v="2025-04-20T00:00:00"/>
    <n v="1"/>
    <s v="Chequeo general"/>
    <x v="4"/>
    <x v="0"/>
    <s v="Dr. López"/>
    <n v="9557.44"/>
    <s v="Tarjeta"/>
    <s v="No"/>
    <s v="Referencia externa"/>
  </r>
  <r>
    <x v="85"/>
    <s v="Femenino"/>
    <d v="1969-11-01T00:00:00"/>
    <n v="57"/>
    <x v="84"/>
    <d v="2024-02-05T00:00:00"/>
    <n v="6"/>
    <s v="Diabetes"/>
    <x v="4"/>
    <x v="1"/>
    <s v="Dra. Martínez"/>
    <n v="41422.230000000003"/>
    <s v="Efectivo"/>
    <s v="No"/>
    <s v="Referencia externa"/>
  </r>
  <r>
    <x v="86"/>
    <s v="Masculino"/>
    <d v="1994-07-03T00:00:00"/>
    <n v="32"/>
    <x v="85"/>
    <d v="2025-01-22T00:00:00"/>
    <n v="6"/>
    <s v="Hipertensión"/>
    <x v="2"/>
    <x v="1"/>
    <s v="Dr. Gómez"/>
    <n v="19966.939999999999"/>
    <s v="Tarjeta"/>
    <s v="No"/>
    <s v="Referencia externa"/>
  </r>
  <r>
    <x v="87"/>
    <s v="Femenino"/>
    <d v="1988-11-21T00:00:00"/>
    <n v="38"/>
    <x v="86"/>
    <d v="2025-04-01T00:00:00"/>
    <n v="12"/>
    <s v="Diabetes"/>
    <x v="3"/>
    <x v="1"/>
    <s v="Dra. Hernández"/>
    <n v="5286.19"/>
    <s v="Tarjeta"/>
    <s v="No"/>
    <s v="Alta médica"/>
  </r>
  <r>
    <x v="88"/>
    <s v="Femenino"/>
    <d v="2004-02-13T00:00:00"/>
    <n v="23"/>
    <x v="87"/>
    <d v="2024-09-04T00:00:00"/>
    <n v="13"/>
    <s v="Infección respiratoria"/>
    <x v="1"/>
    <x v="2"/>
    <s v="Dr. Gómez"/>
    <n v="36985.07"/>
    <s v="Efectivo"/>
    <s v="No"/>
    <s v="Alta médica"/>
  </r>
  <r>
    <x v="89"/>
    <s v="Masculino"/>
    <d v="1978-10-21T00:00:00"/>
    <n v="48"/>
    <x v="88"/>
    <d v="2025-05-12T00:00:00"/>
    <n v="13"/>
    <s v="Chequeo general"/>
    <x v="0"/>
    <x v="0"/>
    <s v="Dra. Hernández"/>
    <n v="17747.669999999998"/>
    <s v="Tarjeta"/>
    <s v="No"/>
    <s v="Alta médica"/>
  </r>
  <r>
    <x v="90"/>
    <s v="Masculino"/>
    <d v="1957-04-18T00:00:00"/>
    <n v="69"/>
    <x v="89"/>
    <d v="2024-02-10T00:00:00"/>
    <n v="15"/>
    <s v="Hipertensión"/>
    <x v="4"/>
    <x v="1"/>
    <s v="Dra. Hernández"/>
    <n v="24402.71"/>
    <s v="Efectivo"/>
    <s v="No"/>
    <s v="Alta médica"/>
  </r>
  <r>
    <x v="91"/>
    <s v="Masculino"/>
    <d v="1993-07-04T00:00:00"/>
    <n v="33"/>
    <x v="90"/>
    <d v="2024-02-16T00:00:00"/>
    <n v="16"/>
    <s v="Hipertensión"/>
    <x v="4"/>
    <x v="0"/>
    <s v="Dr. López"/>
    <n v="6385.24"/>
    <s v="Efectivo"/>
    <s v="No"/>
    <s v="Alta médica"/>
  </r>
  <r>
    <x v="92"/>
    <s v="Femenino"/>
    <d v="1996-05-28T00:00:00"/>
    <n v="30"/>
    <x v="91"/>
    <d v="2025-11-16T00:00:00"/>
    <n v="11"/>
    <s v="Hipertensión"/>
    <x v="0"/>
    <x v="0"/>
    <s v="Dra. Martínez"/>
    <n v="1612.4"/>
    <s v="Efectivo"/>
    <s v="No"/>
    <s v="Referencia externa"/>
  </r>
  <r>
    <x v="93"/>
    <s v="Masculino"/>
    <d v="1984-03-27T00:00:00"/>
    <n v="42"/>
    <x v="92"/>
    <d v="2024-10-27T00:00:00"/>
    <n v="5"/>
    <s v="Hipertensión"/>
    <x v="1"/>
    <x v="1"/>
    <s v="Dr. Gómez"/>
    <n v="29252.36"/>
    <s v="Efectivo"/>
    <s v="No"/>
    <s v="Alta médica"/>
  </r>
  <r>
    <x v="94"/>
    <s v="Masculino"/>
    <d v="1997-01-10T00:00:00"/>
    <n v="30"/>
    <x v="93"/>
    <d v="2024-04-18T00:00:00"/>
    <n v="4"/>
    <s v="Hipertensión"/>
    <x v="1"/>
    <x v="1"/>
    <s v="Dr. López"/>
    <n v="23910.12"/>
    <s v="Tarjeta"/>
    <s v="No"/>
    <s v="Alta médica"/>
  </r>
  <r>
    <x v="95"/>
    <s v="Masculino"/>
    <d v="1980-02-14T00:00:00"/>
    <n v="47"/>
    <x v="94"/>
    <d v="2025-03-07T00:00:00"/>
    <n v="3"/>
    <s v="Diabetes"/>
    <x v="3"/>
    <x v="0"/>
    <s v="Dr. Gómez"/>
    <n v="27318.93"/>
    <s v="Efectivo"/>
    <s v="No"/>
    <s v="Alta médica"/>
  </r>
  <r>
    <x v="96"/>
    <s v="Femenino"/>
    <d v="1981-11-19T00:00:00"/>
    <n v="45"/>
    <x v="95"/>
    <d v="2025-10-12T00:00:00"/>
    <n v="19"/>
    <s v="Chequeo general"/>
    <x v="3"/>
    <x v="1"/>
    <s v="Dra. Hernández"/>
    <n v="36027.86"/>
    <s v="Efectivo"/>
    <s v="No"/>
    <s v="Referencia externa"/>
  </r>
  <r>
    <x v="97"/>
    <s v="Masculino"/>
    <d v="1976-01-30T00:00:00"/>
    <n v="51"/>
    <x v="96"/>
    <d v="2024-07-15T00:00:00"/>
    <n v="20"/>
    <s v="Infección respiratoria"/>
    <x v="2"/>
    <x v="1"/>
    <s v="Dra. Martínez"/>
    <n v="29627.360000000001"/>
    <s v="Tarjeta"/>
    <s v="No"/>
    <s v="Referencia externa"/>
  </r>
  <r>
    <x v="98"/>
    <s v="Femenino"/>
    <d v="1951-07-21T00:00:00"/>
    <n v="75"/>
    <x v="97"/>
    <d v="2025-06-12T00:00:00"/>
    <n v="18"/>
    <s v="Infección respiratoria"/>
    <x v="4"/>
    <x v="1"/>
    <s v="Dr. Gómez"/>
    <n v="9102.64"/>
    <s v="Tarjeta"/>
    <s v="No"/>
    <s v="Referencia externa"/>
  </r>
  <r>
    <x v="99"/>
    <s v="Femenino"/>
    <d v="1956-07-31T00:00:00"/>
    <n v="70"/>
    <x v="98"/>
    <d v="2024-03-25T00:00:00"/>
    <n v="15"/>
    <s v="Infección respiratoria"/>
    <x v="3"/>
    <x v="2"/>
    <s v="Dr. Gómez"/>
    <n v="17193.599999999999"/>
    <s v="Seguro"/>
    <s v="Sí"/>
    <s v="Referencia externa"/>
  </r>
  <r>
    <x v="100"/>
    <s v="Masculino"/>
    <d v="1951-12-02T00:00:00"/>
    <n v="75"/>
    <x v="99"/>
    <d v="2024-02-21T00:00:00"/>
    <n v="9"/>
    <s v="Infección respiratoria"/>
    <x v="1"/>
    <x v="0"/>
    <s v="Dra. Hernández"/>
    <n v="40906.26"/>
    <s v="Tarjeta"/>
    <s v="No"/>
    <s v="Alta médica"/>
  </r>
  <r>
    <x v="101"/>
    <s v="Masculino"/>
    <d v="1988-10-26T00:00:00"/>
    <n v="38"/>
    <x v="100"/>
    <d v="2025-03-28T00:00:00"/>
    <n v="17"/>
    <s v="Diabetes"/>
    <x v="0"/>
    <x v="0"/>
    <s v="Dr. Gómez"/>
    <n v="34992.589999999997"/>
    <s v="Tarjeta"/>
    <s v="No"/>
    <s v="Alta médica"/>
  </r>
  <r>
    <x v="102"/>
    <s v="Femenino"/>
    <d v="1969-03-05T00:00:00"/>
    <n v="58"/>
    <x v="101"/>
    <d v="2025-04-02T00:00:00"/>
    <n v="14"/>
    <s v="Lesión musculoesquelética"/>
    <x v="1"/>
    <x v="2"/>
    <s v="Dr. Gómez"/>
    <n v="25713.71"/>
    <s v="Seguro"/>
    <s v="Sí"/>
    <s v="Referencia externa"/>
  </r>
  <r>
    <x v="103"/>
    <s v="Masculino"/>
    <d v="1981-01-08T00:00:00"/>
    <n v="46"/>
    <x v="102"/>
    <d v="2025-06-21T00:00:00"/>
    <n v="15"/>
    <s v="Chequeo general"/>
    <x v="4"/>
    <x v="0"/>
    <s v="Dra. Hernández"/>
    <n v="12620.56"/>
    <s v="Tarjeta"/>
    <s v="No"/>
    <s v="Referencia externa"/>
  </r>
  <r>
    <x v="104"/>
    <s v="Masculino"/>
    <d v="2005-05-11T00:00:00"/>
    <n v="21"/>
    <x v="103"/>
    <d v="2025-08-19T00:00:00"/>
    <n v="1"/>
    <s v="Hipertensión"/>
    <x v="1"/>
    <x v="1"/>
    <s v="Dr. López"/>
    <n v="14639.63"/>
    <s v="Tarjeta"/>
    <s v="No"/>
    <s v="Alta médica"/>
  </r>
  <r>
    <x v="105"/>
    <s v="Femenino"/>
    <d v="1965-03-16T00:00:00"/>
    <n v="62"/>
    <x v="104"/>
    <d v="2026-03-14T00:00:00"/>
    <n v="3"/>
    <s v="Lesión musculoesquelética"/>
    <x v="2"/>
    <x v="0"/>
    <s v="Dra. Hernández"/>
    <n v="33340.18"/>
    <s v="Tarjeta"/>
    <s v="No"/>
    <s v="Alta médica"/>
  </r>
  <r>
    <x v="106"/>
    <s v="Femenino"/>
    <d v="1975-01-12T00:00:00"/>
    <n v="52"/>
    <x v="105"/>
    <d v="2025-03-15T00:00:00"/>
    <n v="16"/>
    <s v="Infección respiratoria"/>
    <x v="4"/>
    <x v="1"/>
    <s v="Dr. López"/>
    <n v="38526.080000000002"/>
    <s v="Tarjeta"/>
    <s v="No"/>
    <s v="Referencia externa"/>
  </r>
  <r>
    <x v="107"/>
    <s v="Masculino"/>
    <d v="1996-02-01T00:00:00"/>
    <n v="31"/>
    <x v="106"/>
    <d v="2024-10-02T00:00:00"/>
    <n v="11"/>
    <s v="Lesión musculoesquelética"/>
    <x v="0"/>
    <x v="2"/>
    <s v="Dra. Martínez"/>
    <n v="30706.97"/>
    <s v="Seguro"/>
    <s v="Sí"/>
    <s v="Referencia externa"/>
  </r>
  <r>
    <x v="108"/>
    <s v="Femenino"/>
    <d v="1963-12-16T00:00:00"/>
    <n v="63"/>
    <x v="78"/>
    <d v="2025-10-26T00:00:00"/>
    <n v="12"/>
    <s v="Chequeo general"/>
    <x v="2"/>
    <x v="1"/>
    <s v="Dr. López"/>
    <n v="36714.550000000003"/>
    <s v="Tarjeta"/>
    <s v="No"/>
    <s v="Referencia externa"/>
  </r>
  <r>
    <x v="109"/>
    <s v="Masculino"/>
    <d v="1954-09-12T00:00:00"/>
    <n v="72"/>
    <x v="107"/>
    <d v="2024-08-20T00:00:00"/>
    <n v="10"/>
    <s v="Hipertensión"/>
    <x v="4"/>
    <x v="0"/>
    <s v="Dr. López"/>
    <n v="34849.54"/>
    <s v="Tarjeta"/>
    <s v="No"/>
    <s v="Referencia externa"/>
  </r>
  <r>
    <x v="110"/>
    <s v="Masculino"/>
    <d v="1967-09-04T00:00:00"/>
    <n v="59"/>
    <x v="108"/>
    <d v="2025-01-10T00:00:00"/>
    <n v="16"/>
    <s v="Hipertensión"/>
    <x v="0"/>
    <x v="0"/>
    <s v="Dra. Martínez"/>
    <n v="8012.12"/>
    <s v="Seguro"/>
    <s v="Sí"/>
    <s v="Alta médica"/>
  </r>
  <r>
    <x v="111"/>
    <s v="Masculino"/>
    <d v="1959-11-01T00:00:00"/>
    <n v="67"/>
    <x v="109"/>
    <d v="2024-03-13T00:00:00"/>
    <n v="8"/>
    <s v="Chequeo general"/>
    <x v="2"/>
    <x v="0"/>
    <s v="Dr. López"/>
    <n v="19941.599999999999"/>
    <s v="Efectivo"/>
    <s v="No"/>
    <s v="Alta médica"/>
  </r>
  <r>
    <x v="112"/>
    <s v="Femenino"/>
    <d v="2006-09-16T00:00:00"/>
    <n v="20"/>
    <x v="110"/>
    <d v="2024-01-27T00:00:00"/>
    <n v="6"/>
    <s v="Chequeo general"/>
    <x v="2"/>
    <x v="2"/>
    <s v="Dra. Hernández"/>
    <n v="8154.8"/>
    <s v="Seguro"/>
    <s v="Sí"/>
    <s v="Alta médica"/>
  </r>
  <r>
    <x v="113"/>
    <s v="Masculino"/>
    <d v="1999-04-18T00:00:00"/>
    <n v="27"/>
    <x v="111"/>
    <d v="2026-03-12T00:00:00"/>
    <n v="12"/>
    <s v="Infección respiratoria"/>
    <x v="4"/>
    <x v="2"/>
    <s v="Dr. López"/>
    <n v="11732.75"/>
    <s v="Efectivo"/>
    <s v="No"/>
    <s v="Referencia externa"/>
  </r>
  <r>
    <x v="114"/>
    <s v="Masculino"/>
    <d v="1988-08-20T00:00:00"/>
    <n v="38"/>
    <x v="112"/>
    <d v="2025-11-24T00:00:00"/>
    <n v="8"/>
    <s v="Hipertensión"/>
    <x v="3"/>
    <x v="0"/>
    <s v="Dra. Martínez"/>
    <n v="39312.79"/>
    <s v="Seguro"/>
    <s v="Sí"/>
    <s v="Referencia externa"/>
  </r>
  <r>
    <x v="115"/>
    <s v="Masculino"/>
    <d v="2003-02-27T00:00:00"/>
    <n v="24"/>
    <x v="57"/>
    <d v="2025-07-28T00:00:00"/>
    <n v="4"/>
    <s v="Lesión musculoesquelética"/>
    <x v="2"/>
    <x v="1"/>
    <s v="Dra. Hernández"/>
    <n v="22070.799999999999"/>
    <s v="Seguro"/>
    <s v="Sí"/>
    <s v="Alta médica"/>
  </r>
  <r>
    <x v="116"/>
    <s v="Femenino"/>
    <d v="1999-01-09T00:00:00"/>
    <n v="28"/>
    <x v="113"/>
    <d v="2024-12-09T00:00:00"/>
    <n v="8"/>
    <s v="Diabetes"/>
    <x v="2"/>
    <x v="2"/>
    <s v="Dra. Martínez"/>
    <n v="24788.080000000002"/>
    <s v="Tarjeta"/>
    <s v="No"/>
    <s v="Alta médica"/>
  </r>
  <r>
    <x v="117"/>
    <s v="Femenino"/>
    <d v="1961-05-19T00:00:00"/>
    <n v="65"/>
    <x v="114"/>
    <d v="2024-06-09T00:00:00"/>
    <n v="18"/>
    <s v="Diabetes"/>
    <x v="0"/>
    <x v="0"/>
    <s v="Dra. Martínez"/>
    <n v="9262.4"/>
    <s v="Efectivo"/>
    <s v="No"/>
    <s v="Alta médica"/>
  </r>
  <r>
    <x v="118"/>
    <s v="Femenino"/>
    <d v="2004-06-11T00:00:00"/>
    <n v="22"/>
    <x v="115"/>
    <d v="2024-05-13T00:00:00"/>
    <n v="5"/>
    <s v="Chequeo general"/>
    <x v="1"/>
    <x v="0"/>
    <s v="Dr. Gómez"/>
    <n v="15083.82"/>
    <s v="Tarjeta"/>
    <s v="No"/>
    <s v="Alta médica"/>
  </r>
  <r>
    <x v="119"/>
    <s v="Femenino"/>
    <d v="1982-11-25T00:00:00"/>
    <n v="44"/>
    <x v="116"/>
    <d v="2024-08-02T00:00:00"/>
    <n v="9"/>
    <s v="Infección respiratoria"/>
    <x v="4"/>
    <x v="2"/>
    <s v="Dr. Gómez"/>
    <n v="11515.71"/>
    <s v="Efectivo"/>
    <s v="No"/>
    <s v="Referencia externa"/>
  </r>
  <r>
    <x v="120"/>
    <s v="Femenino"/>
    <d v="1999-04-02T00:00:00"/>
    <n v="27"/>
    <x v="117"/>
    <d v="2025-03-30T00:00:00"/>
    <n v="4"/>
    <s v="Diabetes"/>
    <x v="4"/>
    <x v="2"/>
    <s v="Dra. Martínez"/>
    <n v="10469.1"/>
    <s v="Seguro"/>
    <s v="Sí"/>
    <s v="Alta médica"/>
  </r>
  <r>
    <x v="121"/>
    <s v="Masculino"/>
    <d v="2004-08-29T00:00:00"/>
    <n v="22"/>
    <x v="118"/>
    <d v="2025-08-25T00:00:00"/>
    <n v="17"/>
    <s v="Hipertensión"/>
    <x v="3"/>
    <x v="2"/>
    <s v="Dra. Martínez"/>
    <n v="29251.29"/>
    <s v="Seguro"/>
    <s v="Sí"/>
    <s v="Alta médica"/>
  </r>
  <r>
    <x v="122"/>
    <s v="Femenino"/>
    <d v="1969-05-25T00:00:00"/>
    <n v="57"/>
    <x v="119"/>
    <d v="2025-07-04T00:00:00"/>
    <n v="9"/>
    <s v="Chequeo general"/>
    <x v="3"/>
    <x v="1"/>
    <s v="Dra. Martínez"/>
    <n v="12674.45"/>
    <s v="Efectivo"/>
    <s v="No"/>
    <s v="Alta médica"/>
  </r>
  <r>
    <x v="123"/>
    <s v="Femenino"/>
    <d v="1956-09-17T00:00:00"/>
    <n v="70"/>
    <x v="120"/>
    <d v="2024-08-18T00:00:00"/>
    <n v="1"/>
    <s v="Lesión musculoesquelética"/>
    <x v="4"/>
    <x v="1"/>
    <s v="Dr. Gómez"/>
    <n v="28992.67"/>
    <s v="Tarjeta"/>
    <s v="No"/>
    <s v="Alta médica"/>
  </r>
  <r>
    <x v="124"/>
    <s v="Femenino"/>
    <d v="1963-11-27T00:00:00"/>
    <n v="63"/>
    <x v="41"/>
    <d v="2026-03-13T00:00:00"/>
    <n v="20"/>
    <s v="Chequeo general"/>
    <x v="3"/>
    <x v="0"/>
    <s v="Dr. Gómez"/>
    <n v="4042.78"/>
    <s v="Tarjeta"/>
    <s v="No"/>
    <s v="Alta médica"/>
  </r>
  <r>
    <x v="125"/>
    <s v="Masculino"/>
    <d v="1976-01-20T00:00:00"/>
    <n v="51"/>
    <x v="121"/>
    <d v="2025-09-10T00:00:00"/>
    <n v="13"/>
    <s v="Lesión musculoesquelética"/>
    <x v="0"/>
    <x v="2"/>
    <s v="Dr. López"/>
    <n v="7667.19"/>
    <s v="Tarjeta"/>
    <s v="No"/>
    <s v="Alta médica"/>
  </r>
  <r>
    <x v="126"/>
    <s v="Femenino"/>
    <d v="1999-11-24T00:00:00"/>
    <n v="27"/>
    <x v="122"/>
    <d v="2025-04-15T00:00:00"/>
    <n v="16"/>
    <s v="Chequeo general"/>
    <x v="4"/>
    <x v="1"/>
    <s v="Dr. López"/>
    <n v="13442.5"/>
    <s v="Tarjeta"/>
    <s v="No"/>
    <s v="Alta médica"/>
  </r>
  <r>
    <x v="127"/>
    <s v="Femenino"/>
    <d v="2002-07-03T00:00:00"/>
    <n v="24"/>
    <x v="123"/>
    <d v="2025-05-29T00:00:00"/>
    <n v="13"/>
    <s v="Chequeo general"/>
    <x v="3"/>
    <x v="2"/>
    <s v="Dra. Martínez"/>
    <n v="27471.54"/>
    <s v="Seguro"/>
    <s v="Sí"/>
    <s v="Referencia externa"/>
  </r>
  <r>
    <x v="128"/>
    <s v="Masculino"/>
    <d v="1950-06-04T00:00:00"/>
    <n v="76"/>
    <x v="124"/>
    <d v="2024-12-24T00:00:00"/>
    <n v="14"/>
    <s v="Chequeo general"/>
    <x v="4"/>
    <x v="0"/>
    <s v="Dra. Hernández"/>
    <n v="30899.09"/>
    <s v="Seguro"/>
    <s v="Sí"/>
    <s v="Referencia externa"/>
  </r>
  <r>
    <x v="129"/>
    <s v="Femenino"/>
    <d v="1981-02-25T00:00:00"/>
    <n v="46"/>
    <x v="125"/>
    <d v="2024-07-25T00:00:00"/>
    <n v="3"/>
    <s v="Lesión musculoesquelética"/>
    <x v="1"/>
    <x v="1"/>
    <s v="Dra. Hernández"/>
    <n v="20758.189999999999"/>
    <s v="Seguro"/>
    <s v="Sí"/>
    <s v="Referencia externa"/>
  </r>
  <r>
    <x v="130"/>
    <s v="Masculino"/>
    <d v="1975-06-18T00:00:00"/>
    <n v="51"/>
    <x v="126"/>
    <d v="2024-10-24T00:00:00"/>
    <n v="6"/>
    <s v="Lesión musculoesquelética"/>
    <x v="2"/>
    <x v="1"/>
    <s v="Dr. Gómez"/>
    <n v="20891.900000000001"/>
    <s v="Seguro"/>
    <s v="Sí"/>
    <s v="Referencia externa"/>
  </r>
  <r>
    <x v="131"/>
    <s v="Masculino"/>
    <d v="1963-07-20T00:00:00"/>
    <n v="63"/>
    <x v="127"/>
    <d v="2025-10-01T00:00:00"/>
    <n v="18"/>
    <s v="Chequeo general"/>
    <x v="4"/>
    <x v="1"/>
    <s v="Dr. Gómez"/>
    <n v="33016.480000000003"/>
    <s v="Seguro"/>
    <s v="Sí"/>
    <s v="Alta médica"/>
  </r>
  <r>
    <x v="132"/>
    <s v="Masculino"/>
    <d v="1957-04-24T00:00:00"/>
    <n v="69"/>
    <x v="128"/>
    <d v="2024-01-31T00:00:00"/>
    <n v="19"/>
    <s v="Diabetes"/>
    <x v="2"/>
    <x v="0"/>
    <s v="Dr. Gómez"/>
    <n v="2188.2199999999998"/>
    <s v="Tarjeta"/>
    <s v="No"/>
    <s v="Referencia externa"/>
  </r>
  <r>
    <x v="133"/>
    <s v="Masculino"/>
    <d v="1970-08-05T00:00:00"/>
    <n v="56"/>
    <x v="129"/>
    <d v="2024-04-10T00:00:00"/>
    <n v="5"/>
    <s v="Infección respiratoria"/>
    <x v="3"/>
    <x v="2"/>
    <s v="Dra. Martínez"/>
    <n v="16337.42"/>
    <s v="Tarjeta"/>
    <s v="No"/>
    <s v="Referencia externa"/>
  </r>
  <r>
    <x v="134"/>
    <s v="Masculino"/>
    <d v="2007-07-08T00:00:00"/>
    <n v="19"/>
    <x v="130"/>
    <d v="2024-02-22T00:00:00"/>
    <n v="15"/>
    <s v="Infección respiratoria"/>
    <x v="2"/>
    <x v="1"/>
    <s v="Dra. Hernández"/>
    <n v="37113.760000000002"/>
    <s v="Tarjeta"/>
    <s v="No"/>
    <s v="Alta médica"/>
  </r>
  <r>
    <x v="135"/>
    <s v="Femenino"/>
    <d v="1969-09-18T00:00:00"/>
    <n v="57"/>
    <x v="131"/>
    <d v="2024-02-05T00:00:00"/>
    <n v="2"/>
    <s v="Infección respiratoria"/>
    <x v="4"/>
    <x v="0"/>
    <s v="Dr. López"/>
    <n v="27740.04"/>
    <s v="Tarjeta"/>
    <s v="No"/>
    <s v="Alta médica"/>
  </r>
  <r>
    <x v="136"/>
    <s v="Masculino"/>
    <d v="1981-08-24T00:00:00"/>
    <n v="45"/>
    <x v="132"/>
    <d v="2025-12-12T00:00:00"/>
    <n v="10"/>
    <s v="Lesión musculoesquelética"/>
    <x v="1"/>
    <x v="2"/>
    <s v="Dra. Martínez"/>
    <n v="16169.38"/>
    <s v="Seguro"/>
    <s v="Sí"/>
    <s v="Referencia externa"/>
  </r>
  <r>
    <x v="137"/>
    <s v="Masculino"/>
    <d v="1992-11-18T00:00:00"/>
    <n v="34"/>
    <x v="67"/>
    <d v="2025-08-17T00:00:00"/>
    <n v="18"/>
    <s v="Lesión musculoesquelética"/>
    <x v="3"/>
    <x v="0"/>
    <s v="Dr. López"/>
    <n v="40890.33"/>
    <s v="Seguro"/>
    <s v="Sí"/>
    <s v="Referencia externa"/>
  </r>
  <r>
    <x v="138"/>
    <s v="Femenino"/>
    <d v="1972-03-07T00:00:00"/>
    <n v="55"/>
    <x v="133"/>
    <d v="2025-02-05T00:00:00"/>
    <n v="13"/>
    <s v="Diabetes"/>
    <x v="4"/>
    <x v="2"/>
    <s v="Dr. López"/>
    <n v="35109.089999999997"/>
    <s v="Seguro"/>
    <s v="Sí"/>
    <s v="Alta médica"/>
  </r>
  <r>
    <x v="139"/>
    <s v="Masculino"/>
    <d v="2009-04-11T00:00:00"/>
    <n v="17"/>
    <x v="134"/>
    <d v="2024-03-26T00:00:00"/>
    <n v="5"/>
    <s v="Infección respiratoria"/>
    <x v="3"/>
    <x v="0"/>
    <s v="Dra. Martínez"/>
    <n v="13022.95"/>
    <s v="Efectivo"/>
    <s v="No"/>
    <s v="Referencia externa"/>
  </r>
  <r>
    <x v="140"/>
    <s v="Femenino"/>
    <d v="2008-09-15T00:00:00"/>
    <n v="18"/>
    <x v="33"/>
    <d v="2025-02-08T00:00:00"/>
    <n v="1"/>
    <s v="Infección respiratoria"/>
    <x v="0"/>
    <x v="2"/>
    <s v="Dr. López"/>
    <n v="29570.11"/>
    <s v="Tarjeta"/>
    <s v="No"/>
    <s v="Alta médica"/>
  </r>
  <r>
    <x v="141"/>
    <s v="Femenino"/>
    <d v="1965-05-11T00:00:00"/>
    <n v="61"/>
    <x v="133"/>
    <d v="2025-01-24T00:00:00"/>
    <n v="1"/>
    <s v="Chequeo general"/>
    <x v="2"/>
    <x v="1"/>
    <s v="Dra. Hernández"/>
    <n v="27415.16"/>
    <s v="Tarjeta"/>
    <s v="No"/>
    <s v="Alta médica"/>
  </r>
  <r>
    <x v="142"/>
    <s v="Femenino"/>
    <d v="1980-05-01T00:00:00"/>
    <n v="46"/>
    <x v="114"/>
    <d v="2024-06-09T00:00:00"/>
    <n v="18"/>
    <s v="Lesión musculoesquelética"/>
    <x v="0"/>
    <x v="2"/>
    <s v="Dr. López"/>
    <n v="18951.669999999998"/>
    <s v="Seguro"/>
    <s v="Sí"/>
    <s v="Alta médica"/>
  </r>
  <r>
    <x v="143"/>
    <s v="Masculino"/>
    <d v="1968-05-09T00:00:00"/>
    <n v="58"/>
    <x v="135"/>
    <d v="2025-01-05T00:00:00"/>
    <n v="15"/>
    <s v="Infección respiratoria"/>
    <x v="4"/>
    <x v="0"/>
    <s v="Dra. Hernández"/>
    <n v="17462.59"/>
    <s v="Tarjeta"/>
    <s v="No"/>
    <s v="Alta médica"/>
  </r>
  <r>
    <x v="144"/>
    <s v="Masculino"/>
    <d v="1967-05-17T00:00:00"/>
    <n v="59"/>
    <x v="136"/>
    <d v="2024-12-09T00:00:00"/>
    <n v="17"/>
    <s v="Diabetes"/>
    <x v="1"/>
    <x v="0"/>
    <s v="Dra. Hernández"/>
    <n v="16444.88"/>
    <s v="Tarjeta"/>
    <s v="No"/>
    <s v="Referencia externa"/>
  </r>
  <r>
    <x v="145"/>
    <s v="Masculino"/>
    <d v="1952-04-01T00:00:00"/>
    <n v="75"/>
    <x v="60"/>
    <d v="2025-05-30T00:00:00"/>
    <n v="11"/>
    <s v="Diabetes"/>
    <x v="3"/>
    <x v="2"/>
    <s v="Dra. Hernández"/>
    <n v="28346.28"/>
    <s v="Seguro"/>
    <s v="Sí"/>
    <s v="Alta médica"/>
  </r>
  <r>
    <x v="146"/>
    <s v="Femenino"/>
    <d v="1987-03-08T00:00:00"/>
    <n v="40"/>
    <x v="137"/>
    <d v="2025-06-21T00:00:00"/>
    <n v="17"/>
    <s v="Infección respiratoria"/>
    <x v="2"/>
    <x v="1"/>
    <s v="Dr. Gómez"/>
    <n v="20744.830000000002"/>
    <s v="Efectivo"/>
    <s v="No"/>
    <s v="Alta médica"/>
  </r>
  <r>
    <x v="147"/>
    <s v="Masculino"/>
    <d v="1980-08-30T00:00:00"/>
    <n v="46"/>
    <x v="130"/>
    <d v="2024-02-20T00:00:00"/>
    <n v="13"/>
    <s v="Lesión musculoesquelética"/>
    <x v="3"/>
    <x v="1"/>
    <s v="Dr. López"/>
    <n v="37686.050000000003"/>
    <s v="Efectivo"/>
    <s v="No"/>
    <s v="Referencia externa"/>
  </r>
  <r>
    <x v="148"/>
    <s v="Masculino"/>
    <d v="1953-02-20T00:00:00"/>
    <n v="74"/>
    <x v="81"/>
    <d v="2024-11-04T00:00:00"/>
    <n v="1"/>
    <s v="Diabetes"/>
    <x v="4"/>
    <x v="2"/>
    <s v="Dra. Martínez"/>
    <n v="30627.71"/>
    <s v="Efectivo"/>
    <s v="No"/>
    <s v="Alta médica"/>
  </r>
  <r>
    <x v="149"/>
    <s v="Masculino"/>
    <d v="1966-12-30T00:00:00"/>
    <n v="60"/>
    <x v="138"/>
    <d v="2025-05-30T00:00:00"/>
    <n v="2"/>
    <s v="Chequeo general"/>
    <x v="3"/>
    <x v="2"/>
    <s v="Dra. Martínez"/>
    <n v="4542.0200000000004"/>
    <s v="Seguro"/>
    <s v="Sí"/>
    <s v="Referencia externa"/>
  </r>
  <r>
    <x v="150"/>
    <s v="Femenino"/>
    <d v="2005-05-27T00:00:00"/>
    <n v="21"/>
    <x v="31"/>
    <d v="2025-02-25T00:00:00"/>
    <n v="9"/>
    <s v="Diabetes"/>
    <x v="2"/>
    <x v="0"/>
    <s v="Dr. López"/>
    <n v="29347.32"/>
    <s v="Tarjeta"/>
    <s v="No"/>
    <s v="Referencia externa"/>
  </r>
  <r>
    <x v="151"/>
    <s v="Femenino"/>
    <d v="1964-08-12T00:00:00"/>
    <n v="62"/>
    <x v="139"/>
    <d v="2025-12-06T00:00:00"/>
    <n v="3"/>
    <s v="Hipertensión"/>
    <x v="4"/>
    <x v="1"/>
    <s v="Dr. Gómez"/>
    <n v="13294.91"/>
    <s v="Seguro"/>
    <s v="Sí"/>
    <s v="Referencia externa"/>
  </r>
  <r>
    <x v="152"/>
    <s v="Masculino"/>
    <d v="1958-11-03T00:00:00"/>
    <n v="68"/>
    <x v="140"/>
    <d v="2025-06-25T00:00:00"/>
    <n v="1"/>
    <s v="Hipertensión"/>
    <x v="3"/>
    <x v="2"/>
    <s v="Dr. Gómez"/>
    <n v="27287.32"/>
    <s v="Seguro"/>
    <s v="Sí"/>
    <s v="Alta médica"/>
  </r>
  <r>
    <x v="153"/>
    <s v="Masculino"/>
    <d v="1979-11-09T00:00:00"/>
    <n v="47"/>
    <x v="141"/>
    <d v="2024-05-29T00:00:00"/>
    <n v="16"/>
    <s v="Lesión musculoesquelética"/>
    <x v="1"/>
    <x v="1"/>
    <s v="Dra. Hernández"/>
    <n v="31085.74"/>
    <s v="Tarjeta"/>
    <s v="No"/>
    <s v="Referencia externa"/>
  </r>
  <r>
    <x v="154"/>
    <s v="Masculino"/>
    <d v="2010-02-14T00:00:00"/>
    <n v="17"/>
    <x v="142"/>
    <d v="2024-03-04T00:00:00"/>
    <n v="6"/>
    <s v="Infección respiratoria"/>
    <x v="4"/>
    <x v="2"/>
    <s v="Dr. López"/>
    <n v="11541.07"/>
    <s v="Efectivo"/>
    <s v="No"/>
    <s v="Referencia externa"/>
  </r>
  <r>
    <x v="155"/>
    <s v="Masculino"/>
    <d v="1964-10-06T00:00:00"/>
    <n v="62"/>
    <x v="0"/>
    <d v="2025-06-27T00:00:00"/>
    <n v="17"/>
    <s v="Lesión musculoesquelética"/>
    <x v="4"/>
    <x v="2"/>
    <s v="Dr. López"/>
    <n v="21373.35"/>
    <s v="Efectivo"/>
    <s v="No"/>
    <s v="Alta médica"/>
  </r>
  <r>
    <x v="156"/>
    <s v="Femenino"/>
    <d v="1990-12-31T00:00:00"/>
    <n v="36"/>
    <x v="143"/>
    <d v="2024-01-27T00:00:00"/>
    <n v="5"/>
    <s v="Lesión musculoesquelética"/>
    <x v="1"/>
    <x v="1"/>
    <s v="Dra. Martínez"/>
    <n v="9779.1299999999992"/>
    <s v="Seguro"/>
    <s v="Sí"/>
    <s v="Referencia externa"/>
  </r>
  <r>
    <x v="157"/>
    <s v="Femenino"/>
    <d v="1996-06-16T00:00:00"/>
    <n v="30"/>
    <x v="144"/>
    <d v="2025-04-30T00:00:00"/>
    <n v="5"/>
    <s v="Lesión musculoesquelética"/>
    <x v="0"/>
    <x v="2"/>
    <s v="Dr. López"/>
    <n v="3776.74"/>
    <s v="Efectivo"/>
    <s v="No"/>
    <s v="Referencia externa"/>
  </r>
  <r>
    <x v="158"/>
    <s v="Femenino"/>
    <d v="1964-06-30T00:00:00"/>
    <n v="62"/>
    <x v="145"/>
    <d v="2026-02-15T00:00:00"/>
    <n v="6"/>
    <s v="Lesión musculoesquelética"/>
    <x v="2"/>
    <x v="2"/>
    <s v="Dr. Gómez"/>
    <n v="17963.72"/>
    <s v="Seguro"/>
    <s v="Sí"/>
    <s v="Referencia externa"/>
  </r>
  <r>
    <x v="159"/>
    <s v="Femenino"/>
    <d v="1994-06-02T00:00:00"/>
    <n v="32"/>
    <x v="146"/>
    <d v="2025-04-19T00:00:00"/>
    <n v="3"/>
    <s v="Chequeo general"/>
    <x v="0"/>
    <x v="0"/>
    <s v="Dr. López"/>
    <n v="17288.080000000002"/>
    <s v="Seguro"/>
    <s v="Sí"/>
    <s v="Referencia externa"/>
  </r>
  <r>
    <x v="160"/>
    <s v="Masculino"/>
    <d v="1972-06-07T00:00:00"/>
    <n v="54"/>
    <x v="147"/>
    <d v="2024-11-19T00:00:00"/>
    <n v="5"/>
    <s v="Chequeo general"/>
    <x v="3"/>
    <x v="2"/>
    <s v="Dra. Martínez"/>
    <n v="44803.4"/>
    <s v="Tarjeta"/>
    <s v="No"/>
    <s v="Referencia externa"/>
  </r>
  <r>
    <x v="161"/>
    <s v="Masculino"/>
    <d v="1988-07-27T00:00:00"/>
    <n v="38"/>
    <x v="148"/>
    <d v="2025-06-16T00:00:00"/>
    <n v="5"/>
    <s v="Diabetes"/>
    <x v="1"/>
    <x v="2"/>
    <s v="Dra. Hernández"/>
    <n v="20916.330000000002"/>
    <s v="Tarjeta"/>
    <s v="No"/>
    <s v="Alta médica"/>
  </r>
  <r>
    <x v="162"/>
    <s v="Masculino"/>
    <d v="1988-08-23T00:00:00"/>
    <n v="38"/>
    <x v="149"/>
    <d v="2025-01-20T00:00:00"/>
    <n v="10"/>
    <s v="Hipertensión"/>
    <x v="0"/>
    <x v="2"/>
    <s v="Dra. Martínez"/>
    <n v="16010.28"/>
    <s v="Tarjeta"/>
    <s v="No"/>
    <s v="Referencia externa"/>
  </r>
  <r>
    <x v="163"/>
    <s v="Femenino"/>
    <d v="1982-09-06T00:00:00"/>
    <n v="44"/>
    <x v="150"/>
    <d v="2025-04-02T00:00:00"/>
    <n v="10"/>
    <s v="Lesión musculoesquelética"/>
    <x v="4"/>
    <x v="0"/>
    <s v="Dra. Martínez"/>
    <n v="26750.66"/>
    <s v="Seguro"/>
    <s v="Sí"/>
    <s v="Referencia externa"/>
  </r>
  <r>
    <x v="164"/>
    <s v="Masculino"/>
    <d v="1955-07-05T00:00:00"/>
    <n v="71"/>
    <x v="151"/>
    <d v="2026-03-02T00:00:00"/>
    <n v="19"/>
    <s v="Diabetes"/>
    <x v="3"/>
    <x v="1"/>
    <s v="Dra. Hernández"/>
    <n v="5361.38"/>
    <s v="Tarjeta"/>
    <s v="No"/>
    <s v="Alta médica"/>
  </r>
  <r>
    <x v="165"/>
    <s v="Femenino"/>
    <d v="2000-12-13T00:00:00"/>
    <n v="26"/>
    <x v="152"/>
    <d v="2024-11-29T00:00:00"/>
    <n v="17"/>
    <s v="Hipertensión"/>
    <x v="3"/>
    <x v="0"/>
    <s v="Dra. Martínez"/>
    <n v="43332.46"/>
    <s v="Efectivo"/>
    <s v="No"/>
    <s v="Alta médica"/>
  </r>
  <r>
    <x v="166"/>
    <s v="Femenino"/>
    <d v="1969-07-26T00:00:00"/>
    <n v="57"/>
    <x v="153"/>
    <d v="2026-03-13T00:00:00"/>
    <n v="14"/>
    <s v="Infección respiratoria"/>
    <x v="0"/>
    <x v="0"/>
    <s v="Dra. Martínez"/>
    <n v="29120.76"/>
    <s v="Efectivo"/>
    <s v="No"/>
    <s v="Alta médica"/>
  </r>
  <r>
    <x v="167"/>
    <s v="Masculino"/>
    <d v="1961-05-18T00:00:00"/>
    <n v="65"/>
    <x v="154"/>
    <d v="2026-01-21T00:00:00"/>
    <n v="9"/>
    <s v="Chequeo general"/>
    <x v="0"/>
    <x v="1"/>
    <s v="Dr. López"/>
    <n v="34335.449999999997"/>
    <s v="Seguro"/>
    <s v="Sí"/>
    <s v="Referencia externa"/>
  </r>
  <r>
    <x v="168"/>
    <s v="Masculino"/>
    <d v="1952-06-27T00:00:00"/>
    <n v="74"/>
    <x v="34"/>
    <d v="2024-06-23T00:00:00"/>
    <n v="14"/>
    <s v="Hipertensión"/>
    <x v="1"/>
    <x v="0"/>
    <s v="Dr. López"/>
    <n v="8915.7900000000009"/>
    <s v="Seguro"/>
    <s v="Sí"/>
    <s v="Alta médica"/>
  </r>
  <r>
    <x v="169"/>
    <s v="Masculino"/>
    <d v="1986-01-16T00:00:00"/>
    <n v="41"/>
    <x v="155"/>
    <d v="2024-02-27T00:00:00"/>
    <n v="1"/>
    <s v="Infección respiratoria"/>
    <x v="2"/>
    <x v="1"/>
    <s v="Dra. Hernández"/>
    <n v="19312.29"/>
    <s v="Tarjeta"/>
    <s v="No"/>
    <s v="Referencia externa"/>
  </r>
  <r>
    <x v="170"/>
    <s v="Femenino"/>
    <d v="1991-05-01T00:00:00"/>
    <n v="35"/>
    <x v="156"/>
    <d v="2024-04-11T00:00:00"/>
    <n v="19"/>
    <s v="Hipertensión"/>
    <x v="0"/>
    <x v="0"/>
    <s v="Dr. López"/>
    <n v="19886.98"/>
    <s v="Seguro"/>
    <s v="Sí"/>
    <s v="Referencia externa"/>
  </r>
  <r>
    <x v="171"/>
    <s v="Masculino"/>
    <d v="1951-01-05T00:00:00"/>
    <n v="76"/>
    <x v="157"/>
    <d v="2024-01-28T00:00:00"/>
    <n v="13"/>
    <s v="Chequeo general"/>
    <x v="0"/>
    <x v="1"/>
    <s v="Dr. López"/>
    <n v="37248.58"/>
    <s v="Seguro"/>
    <s v="Sí"/>
    <s v="Alta médica"/>
  </r>
  <r>
    <x v="172"/>
    <s v="Femenino"/>
    <d v="1981-03-27T00:00:00"/>
    <n v="45"/>
    <x v="82"/>
    <d v="2024-03-31T00:00:00"/>
    <n v="13"/>
    <s v="Chequeo general"/>
    <x v="4"/>
    <x v="2"/>
    <s v="Dra. Martínez"/>
    <n v="1553.8"/>
    <s v="Efectivo"/>
    <s v="No"/>
    <s v="Alta médica"/>
  </r>
  <r>
    <x v="173"/>
    <s v="Masculino"/>
    <d v="1963-10-26T00:00:00"/>
    <n v="63"/>
    <x v="158"/>
    <d v="2025-07-18T00:00:00"/>
    <n v="4"/>
    <s v="Diabetes"/>
    <x v="3"/>
    <x v="0"/>
    <s v="Dr. Gómez"/>
    <n v="14587.11"/>
    <s v="Efectivo"/>
    <s v="No"/>
    <s v="Referencia externa"/>
  </r>
  <r>
    <x v="174"/>
    <s v="Femenino"/>
    <d v="1989-05-09T00:00:00"/>
    <n v="37"/>
    <x v="159"/>
    <d v="2024-02-29T00:00:00"/>
    <n v="1"/>
    <s v="Lesión musculoesquelética"/>
    <x v="2"/>
    <x v="0"/>
    <s v="Dr. López"/>
    <n v="44183.78"/>
    <s v="Tarjeta"/>
    <s v="No"/>
    <s v="Alta médica"/>
  </r>
  <r>
    <x v="175"/>
    <s v="Femenino"/>
    <d v="1960-08-20T00:00:00"/>
    <n v="66"/>
    <x v="160"/>
    <d v="2024-10-05T00:00:00"/>
    <n v="17"/>
    <s v="Hipertensión"/>
    <x v="4"/>
    <x v="0"/>
    <s v="Dr. Gómez"/>
    <n v="22157.56"/>
    <s v="Seguro"/>
    <s v="Sí"/>
    <s v="Referencia externa"/>
  </r>
  <r>
    <x v="176"/>
    <s v="Masculino"/>
    <d v="1992-02-23T00:00:00"/>
    <n v="35"/>
    <x v="161"/>
    <d v="2025-12-01T00:00:00"/>
    <n v="8"/>
    <s v="Hipertensión"/>
    <x v="1"/>
    <x v="0"/>
    <s v="Dr. López"/>
    <n v="18139.89"/>
    <s v="Seguro"/>
    <s v="Sí"/>
    <s v="Alta médica"/>
  </r>
  <r>
    <x v="177"/>
    <s v="Femenino"/>
    <d v="1973-08-04T00:00:00"/>
    <n v="53"/>
    <x v="37"/>
    <d v="2024-01-22T00:00:00"/>
    <n v="2"/>
    <s v="Infección respiratoria"/>
    <x v="1"/>
    <x v="2"/>
    <s v="Dr. López"/>
    <n v="6712.56"/>
    <s v="Efectivo"/>
    <s v="No"/>
    <s v="Alta médica"/>
  </r>
  <r>
    <x v="178"/>
    <s v="Femenino"/>
    <d v="2007-02-20T00:00:00"/>
    <n v="20"/>
    <x v="162"/>
    <d v="2025-11-06T00:00:00"/>
    <n v="8"/>
    <s v="Chequeo general"/>
    <x v="0"/>
    <x v="0"/>
    <s v="Dra. Hernández"/>
    <n v="43876.160000000003"/>
    <s v="Seguro"/>
    <s v="Sí"/>
    <s v="Alta médica"/>
  </r>
  <r>
    <x v="179"/>
    <s v="Masculino"/>
    <d v="1958-05-22T00:00:00"/>
    <n v="68"/>
    <x v="163"/>
    <d v="2024-08-26T00:00:00"/>
    <n v="7"/>
    <s v="Hipertensión"/>
    <x v="0"/>
    <x v="2"/>
    <s v="Dra. Hernández"/>
    <n v="2371.15"/>
    <s v="Efectivo"/>
    <s v="No"/>
    <s v="Referencia externa"/>
  </r>
  <r>
    <x v="180"/>
    <s v="Femenino"/>
    <d v="1970-10-21T00:00:00"/>
    <n v="56"/>
    <x v="164"/>
    <d v="2024-04-08T00:00:00"/>
    <n v="2"/>
    <s v="Chequeo general"/>
    <x v="1"/>
    <x v="2"/>
    <s v="Dra. Hernández"/>
    <n v="33567.339999999997"/>
    <s v="Tarjeta"/>
    <s v="No"/>
    <s v="Alta médica"/>
  </r>
  <r>
    <x v="181"/>
    <s v="Masculino"/>
    <d v="1956-12-03T00:00:00"/>
    <n v="70"/>
    <x v="66"/>
    <d v="2025-07-28T00:00:00"/>
    <n v="3"/>
    <s v="Hipertensión"/>
    <x v="0"/>
    <x v="2"/>
    <s v="Dr. Gómez"/>
    <n v="34934.089999999997"/>
    <s v="Efectivo"/>
    <s v="No"/>
    <s v="Referencia externa"/>
  </r>
  <r>
    <x v="182"/>
    <s v="Femenino"/>
    <d v="2006-05-28T00:00:00"/>
    <n v="20"/>
    <x v="165"/>
    <d v="2025-06-17T00:00:00"/>
    <n v="18"/>
    <s v="Diabetes"/>
    <x v="2"/>
    <x v="2"/>
    <s v="Dra. Martínez"/>
    <n v="12099.07"/>
    <s v="Seguro"/>
    <s v="Sí"/>
    <s v="Referencia externa"/>
  </r>
  <r>
    <x v="183"/>
    <s v="Masculino"/>
    <d v="2003-07-08T00:00:00"/>
    <n v="23"/>
    <x v="64"/>
    <d v="2026-01-01T00:00:00"/>
    <n v="12"/>
    <s v="Lesión musculoesquelética"/>
    <x v="0"/>
    <x v="1"/>
    <s v="Dr. López"/>
    <n v="30712.79"/>
    <s v="Tarjeta"/>
    <s v="No"/>
    <s v="Referencia externa"/>
  </r>
  <r>
    <x v="184"/>
    <s v="Masculino"/>
    <d v="1965-09-25T00:00:00"/>
    <n v="61"/>
    <x v="166"/>
    <d v="2025-08-26T00:00:00"/>
    <n v="1"/>
    <s v="Hipertensión"/>
    <x v="3"/>
    <x v="1"/>
    <s v="Dr. López"/>
    <n v="5542.42"/>
    <s v="Efectivo"/>
    <s v="No"/>
    <s v="Referencia externa"/>
  </r>
  <r>
    <x v="185"/>
    <s v="Femenino"/>
    <d v="1990-04-04T00:00:00"/>
    <n v="36"/>
    <x v="167"/>
    <d v="2025-11-01T00:00:00"/>
    <n v="12"/>
    <s v="Chequeo general"/>
    <x v="0"/>
    <x v="0"/>
    <s v="Dr. López"/>
    <n v="12681.56"/>
    <s v="Efectivo"/>
    <s v="No"/>
    <s v="Alta médica"/>
  </r>
  <r>
    <x v="186"/>
    <s v="Femenino"/>
    <d v="1999-11-06T00:00:00"/>
    <n v="27"/>
    <x v="163"/>
    <d v="2024-08-24T00:00:00"/>
    <n v="5"/>
    <s v="Diabetes"/>
    <x v="4"/>
    <x v="1"/>
    <s v="Dr. Gómez"/>
    <n v="35773.74"/>
    <s v="Tarjeta"/>
    <s v="No"/>
    <s v="Referencia externa"/>
  </r>
  <r>
    <x v="187"/>
    <s v="Femenino"/>
    <d v="1983-11-13T00:00:00"/>
    <n v="43"/>
    <x v="39"/>
    <d v="2024-06-11T00:00:00"/>
    <n v="17"/>
    <s v="Hipertensión"/>
    <x v="2"/>
    <x v="1"/>
    <s v="Dra. Hernández"/>
    <n v="39113.85"/>
    <s v="Tarjeta"/>
    <s v="No"/>
    <s v="Referencia externa"/>
  </r>
  <r>
    <x v="188"/>
    <s v="Femenino"/>
    <d v="1982-04-23T00:00:00"/>
    <n v="44"/>
    <x v="168"/>
    <d v="2025-09-23T00:00:00"/>
    <n v="16"/>
    <s v="Infección respiratoria"/>
    <x v="4"/>
    <x v="0"/>
    <s v="Dra. Martínez"/>
    <n v="27969.16"/>
    <s v="Efectivo"/>
    <s v="No"/>
    <s v="Alta médica"/>
  </r>
  <r>
    <x v="189"/>
    <s v="Femenino"/>
    <d v="1964-10-02T00:00:00"/>
    <n v="62"/>
    <x v="169"/>
    <d v="2025-11-07T00:00:00"/>
    <n v="15"/>
    <s v="Lesión musculoesquelética"/>
    <x v="4"/>
    <x v="0"/>
    <s v="Dr. Gómez"/>
    <n v="23547.47"/>
    <s v="Seguro"/>
    <s v="Sí"/>
    <s v="Referencia externa"/>
  </r>
  <r>
    <x v="190"/>
    <s v="Masculino"/>
    <d v="1955-09-06T00:00:00"/>
    <n v="71"/>
    <x v="170"/>
    <d v="2026-04-07T00:00:00"/>
    <n v="15"/>
    <s v="Hipertensión"/>
    <x v="3"/>
    <x v="0"/>
    <s v="Dra. Hernández"/>
    <n v="8429.7199999999993"/>
    <s v="Efectivo"/>
    <s v="No"/>
    <s v="Alta médica"/>
  </r>
  <r>
    <x v="191"/>
    <s v="Femenino"/>
    <d v="2004-09-23T00:00:00"/>
    <n v="22"/>
    <x v="171"/>
    <d v="2024-12-09T00:00:00"/>
    <n v="5"/>
    <s v="Diabetes"/>
    <x v="2"/>
    <x v="1"/>
    <s v="Dr. Gómez"/>
    <n v="4245.24"/>
    <s v="Tarjeta"/>
    <s v="No"/>
    <s v="Referencia externa"/>
  </r>
  <r>
    <x v="192"/>
    <s v="Masculino"/>
    <d v="2004-12-03T00:00:00"/>
    <n v="22"/>
    <x v="172"/>
    <d v="2024-11-15T00:00:00"/>
    <n v="14"/>
    <s v="Infección respiratoria"/>
    <x v="2"/>
    <x v="1"/>
    <s v="Dra. Martínez"/>
    <n v="6617.73"/>
    <s v="Efectivo"/>
    <s v="No"/>
    <s v="Alta médica"/>
  </r>
  <r>
    <x v="193"/>
    <s v="Masculino"/>
    <d v="1988-08-13T00:00:00"/>
    <n v="38"/>
    <x v="173"/>
    <d v="2025-09-30T00:00:00"/>
    <n v="2"/>
    <s v="Diabetes"/>
    <x v="2"/>
    <x v="0"/>
    <s v="Dra. Hernández"/>
    <n v="11390.04"/>
    <s v="Tarjeta"/>
    <s v="No"/>
    <s v="Referencia externa"/>
  </r>
  <r>
    <x v="194"/>
    <s v="Femenino"/>
    <d v="1970-09-06T00:00:00"/>
    <n v="56"/>
    <x v="174"/>
    <d v="2024-10-17T00:00:00"/>
    <n v="11"/>
    <s v="Diabetes"/>
    <x v="2"/>
    <x v="2"/>
    <s v="Dr. Gómez"/>
    <n v="16362.84"/>
    <s v="Tarjeta"/>
    <s v="No"/>
    <s v="Alta médica"/>
  </r>
  <r>
    <x v="195"/>
    <s v="Masculino"/>
    <d v="1971-04-21T00:00:00"/>
    <n v="55"/>
    <x v="175"/>
    <d v="2026-02-21T00:00:00"/>
    <n v="19"/>
    <s v="Infección respiratoria"/>
    <x v="2"/>
    <x v="0"/>
    <s v="Dra. Martínez"/>
    <n v="18069.560000000001"/>
    <s v="Seguro"/>
    <s v="Sí"/>
    <s v="Referencia externa"/>
  </r>
  <r>
    <x v="196"/>
    <s v="Masculino"/>
    <d v="1994-04-13T00:00:00"/>
    <n v="32"/>
    <x v="176"/>
    <d v="2025-12-11T00:00:00"/>
    <n v="7"/>
    <s v="Diabetes"/>
    <x v="3"/>
    <x v="2"/>
    <s v="Dr. López"/>
    <n v="16565"/>
    <s v="Tarjeta"/>
    <s v="No"/>
    <s v="Referencia externa"/>
  </r>
  <r>
    <x v="197"/>
    <s v="Masculino"/>
    <d v="2004-09-20T00:00:00"/>
    <n v="22"/>
    <x v="46"/>
    <d v="2024-12-23T00:00:00"/>
    <n v="6"/>
    <s v="Infección respiratoria"/>
    <x v="0"/>
    <x v="2"/>
    <s v="Dra. Martínez"/>
    <n v="11898.91"/>
    <s v="Tarjeta"/>
    <s v="No"/>
    <s v="Alta médica"/>
  </r>
  <r>
    <x v="198"/>
    <s v="Masculino"/>
    <d v="2004-02-10T00:00:00"/>
    <n v="23"/>
    <x v="168"/>
    <d v="2025-09-09T00:00:00"/>
    <n v="2"/>
    <s v="Hipertensión"/>
    <x v="4"/>
    <x v="0"/>
    <s v="Dr. López"/>
    <n v="23673"/>
    <s v="Seguro"/>
    <s v="Sí"/>
    <s v="Alta médica"/>
  </r>
  <r>
    <x v="199"/>
    <s v="Femenino"/>
    <d v="1997-07-27T00:00:00"/>
    <n v="29"/>
    <x v="177"/>
    <d v="2025-09-16T00:00:00"/>
    <n v="6"/>
    <s v="Infección respiratoria"/>
    <x v="2"/>
    <x v="0"/>
    <s v="Dr. Gómez"/>
    <n v="37399.949999999997"/>
    <s v="Tarjeta"/>
    <s v="No"/>
    <s v="Alta médic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54"/>
    <x v="0"/>
    <x v="0"/>
    <n v="9"/>
    <x v="0"/>
    <x v="0"/>
    <x v="0"/>
    <x v="0"/>
    <x v="0"/>
    <x v="0"/>
    <x v="0"/>
    <x v="0"/>
  </r>
  <r>
    <n v="19"/>
    <x v="1"/>
    <x v="1"/>
    <n v="17"/>
    <x v="1"/>
    <x v="1"/>
    <x v="1"/>
    <x v="0"/>
    <x v="1"/>
    <x v="1"/>
    <x v="1"/>
    <x v="0"/>
  </r>
  <r>
    <n v="32"/>
    <x v="2"/>
    <x v="2"/>
    <n v="17"/>
    <x v="2"/>
    <x v="0"/>
    <x v="0"/>
    <x v="0"/>
    <x v="2"/>
    <x v="2"/>
    <x v="1"/>
    <x v="1"/>
  </r>
  <r>
    <n v="40"/>
    <x v="3"/>
    <x v="3"/>
    <n v="20"/>
    <x v="3"/>
    <x v="0"/>
    <x v="2"/>
    <x v="1"/>
    <x v="3"/>
    <x v="1"/>
    <x v="1"/>
    <x v="1"/>
  </r>
  <r>
    <n v="67"/>
    <x v="4"/>
    <x v="4"/>
    <n v="16"/>
    <x v="2"/>
    <x v="2"/>
    <x v="1"/>
    <x v="2"/>
    <x v="4"/>
    <x v="1"/>
    <x v="1"/>
    <x v="0"/>
  </r>
  <r>
    <n v="67"/>
    <x v="5"/>
    <x v="5"/>
    <n v="13"/>
    <x v="2"/>
    <x v="1"/>
    <x v="0"/>
    <x v="3"/>
    <x v="5"/>
    <x v="0"/>
    <x v="0"/>
    <x v="1"/>
  </r>
  <r>
    <n v="73"/>
    <x v="6"/>
    <x v="6"/>
    <n v="19"/>
    <x v="0"/>
    <x v="3"/>
    <x v="1"/>
    <x v="3"/>
    <x v="6"/>
    <x v="1"/>
    <x v="1"/>
    <x v="0"/>
  </r>
  <r>
    <n v="24"/>
    <x v="7"/>
    <x v="7"/>
    <n v="17"/>
    <x v="1"/>
    <x v="2"/>
    <x v="2"/>
    <x v="0"/>
    <x v="7"/>
    <x v="0"/>
    <x v="0"/>
    <x v="0"/>
  </r>
  <r>
    <n v="40"/>
    <x v="8"/>
    <x v="8"/>
    <n v="4"/>
    <x v="4"/>
    <x v="2"/>
    <x v="2"/>
    <x v="1"/>
    <x v="8"/>
    <x v="2"/>
    <x v="1"/>
    <x v="1"/>
  </r>
  <r>
    <n v="34"/>
    <x v="9"/>
    <x v="9"/>
    <n v="12"/>
    <x v="1"/>
    <x v="3"/>
    <x v="0"/>
    <x v="1"/>
    <x v="9"/>
    <x v="0"/>
    <x v="0"/>
    <x v="1"/>
  </r>
  <r>
    <n v="75"/>
    <x v="10"/>
    <x v="10"/>
    <n v="9"/>
    <x v="1"/>
    <x v="0"/>
    <x v="2"/>
    <x v="1"/>
    <x v="10"/>
    <x v="1"/>
    <x v="1"/>
    <x v="0"/>
  </r>
  <r>
    <n v="18"/>
    <x v="11"/>
    <x v="11"/>
    <n v="19"/>
    <x v="2"/>
    <x v="4"/>
    <x v="1"/>
    <x v="3"/>
    <x v="11"/>
    <x v="1"/>
    <x v="1"/>
    <x v="0"/>
  </r>
  <r>
    <n v="26"/>
    <x v="12"/>
    <x v="12"/>
    <n v="12"/>
    <x v="1"/>
    <x v="1"/>
    <x v="2"/>
    <x v="0"/>
    <x v="12"/>
    <x v="0"/>
    <x v="0"/>
    <x v="0"/>
  </r>
  <r>
    <n v="64"/>
    <x v="13"/>
    <x v="13"/>
    <n v="9"/>
    <x v="3"/>
    <x v="4"/>
    <x v="1"/>
    <x v="2"/>
    <x v="13"/>
    <x v="0"/>
    <x v="0"/>
    <x v="0"/>
  </r>
  <r>
    <n v="66"/>
    <x v="14"/>
    <x v="14"/>
    <n v="7"/>
    <x v="2"/>
    <x v="3"/>
    <x v="1"/>
    <x v="3"/>
    <x v="14"/>
    <x v="1"/>
    <x v="1"/>
    <x v="1"/>
  </r>
  <r>
    <n v="66"/>
    <x v="15"/>
    <x v="15"/>
    <n v="14"/>
    <x v="3"/>
    <x v="2"/>
    <x v="2"/>
    <x v="0"/>
    <x v="15"/>
    <x v="2"/>
    <x v="1"/>
    <x v="1"/>
  </r>
  <r>
    <n v="58"/>
    <x v="16"/>
    <x v="16"/>
    <n v="20"/>
    <x v="4"/>
    <x v="2"/>
    <x v="0"/>
    <x v="0"/>
    <x v="16"/>
    <x v="2"/>
    <x v="1"/>
    <x v="1"/>
  </r>
  <r>
    <n v="45"/>
    <x v="17"/>
    <x v="17"/>
    <n v="19"/>
    <x v="2"/>
    <x v="1"/>
    <x v="2"/>
    <x v="2"/>
    <x v="17"/>
    <x v="0"/>
    <x v="0"/>
    <x v="1"/>
  </r>
  <r>
    <n v="50"/>
    <x v="18"/>
    <x v="18"/>
    <n v="15"/>
    <x v="4"/>
    <x v="2"/>
    <x v="1"/>
    <x v="2"/>
    <x v="18"/>
    <x v="2"/>
    <x v="1"/>
    <x v="1"/>
  </r>
  <r>
    <n v="59"/>
    <x v="19"/>
    <x v="19"/>
    <n v="16"/>
    <x v="2"/>
    <x v="2"/>
    <x v="1"/>
    <x v="2"/>
    <x v="19"/>
    <x v="1"/>
    <x v="1"/>
    <x v="0"/>
  </r>
  <r>
    <n v="39"/>
    <x v="20"/>
    <x v="20"/>
    <n v="5"/>
    <x v="0"/>
    <x v="1"/>
    <x v="2"/>
    <x v="1"/>
    <x v="20"/>
    <x v="0"/>
    <x v="0"/>
    <x v="1"/>
  </r>
  <r>
    <n v="68"/>
    <x v="21"/>
    <x v="21"/>
    <n v="3"/>
    <x v="1"/>
    <x v="1"/>
    <x v="0"/>
    <x v="2"/>
    <x v="21"/>
    <x v="1"/>
    <x v="1"/>
    <x v="1"/>
  </r>
  <r>
    <n v="59"/>
    <x v="22"/>
    <x v="22"/>
    <n v="12"/>
    <x v="0"/>
    <x v="3"/>
    <x v="0"/>
    <x v="0"/>
    <x v="22"/>
    <x v="1"/>
    <x v="1"/>
    <x v="1"/>
  </r>
  <r>
    <n v="54"/>
    <x v="23"/>
    <x v="23"/>
    <n v="20"/>
    <x v="4"/>
    <x v="2"/>
    <x v="1"/>
    <x v="2"/>
    <x v="23"/>
    <x v="2"/>
    <x v="1"/>
    <x v="1"/>
  </r>
  <r>
    <n v="49"/>
    <x v="24"/>
    <x v="24"/>
    <n v="4"/>
    <x v="1"/>
    <x v="2"/>
    <x v="1"/>
    <x v="0"/>
    <x v="24"/>
    <x v="0"/>
    <x v="0"/>
    <x v="1"/>
  </r>
  <r>
    <n v="29"/>
    <x v="25"/>
    <x v="25"/>
    <n v="16"/>
    <x v="2"/>
    <x v="3"/>
    <x v="0"/>
    <x v="3"/>
    <x v="25"/>
    <x v="0"/>
    <x v="0"/>
    <x v="0"/>
  </r>
  <r>
    <n v="65"/>
    <x v="26"/>
    <x v="26"/>
    <n v="7"/>
    <x v="1"/>
    <x v="0"/>
    <x v="2"/>
    <x v="1"/>
    <x v="26"/>
    <x v="2"/>
    <x v="1"/>
    <x v="0"/>
  </r>
  <r>
    <n v="45"/>
    <x v="27"/>
    <x v="27"/>
    <n v="13"/>
    <x v="3"/>
    <x v="0"/>
    <x v="1"/>
    <x v="3"/>
    <x v="27"/>
    <x v="1"/>
    <x v="1"/>
    <x v="0"/>
  </r>
  <r>
    <n v="41"/>
    <x v="28"/>
    <x v="28"/>
    <n v="10"/>
    <x v="1"/>
    <x v="0"/>
    <x v="1"/>
    <x v="3"/>
    <x v="28"/>
    <x v="1"/>
    <x v="1"/>
    <x v="1"/>
  </r>
  <r>
    <n v="74"/>
    <x v="29"/>
    <x v="29"/>
    <n v="7"/>
    <x v="3"/>
    <x v="3"/>
    <x v="0"/>
    <x v="0"/>
    <x v="29"/>
    <x v="1"/>
    <x v="1"/>
    <x v="0"/>
  </r>
  <r>
    <n v="40"/>
    <x v="30"/>
    <x v="30"/>
    <n v="14"/>
    <x v="1"/>
    <x v="2"/>
    <x v="2"/>
    <x v="3"/>
    <x v="30"/>
    <x v="1"/>
    <x v="1"/>
    <x v="0"/>
  </r>
  <r>
    <n v="66"/>
    <x v="31"/>
    <x v="31"/>
    <n v="5"/>
    <x v="3"/>
    <x v="3"/>
    <x v="0"/>
    <x v="0"/>
    <x v="31"/>
    <x v="0"/>
    <x v="0"/>
    <x v="1"/>
  </r>
  <r>
    <n v="73"/>
    <x v="32"/>
    <x v="32"/>
    <n v="3"/>
    <x v="4"/>
    <x v="3"/>
    <x v="2"/>
    <x v="2"/>
    <x v="32"/>
    <x v="0"/>
    <x v="0"/>
    <x v="1"/>
  </r>
  <r>
    <n v="19"/>
    <x v="33"/>
    <x v="33"/>
    <n v="11"/>
    <x v="0"/>
    <x v="0"/>
    <x v="2"/>
    <x v="2"/>
    <x v="33"/>
    <x v="2"/>
    <x v="1"/>
    <x v="1"/>
  </r>
  <r>
    <n v="18"/>
    <x v="34"/>
    <x v="34"/>
    <n v="11"/>
    <x v="2"/>
    <x v="4"/>
    <x v="2"/>
    <x v="0"/>
    <x v="34"/>
    <x v="2"/>
    <x v="1"/>
    <x v="0"/>
  </r>
  <r>
    <n v="27"/>
    <x v="35"/>
    <x v="35"/>
    <n v="18"/>
    <x v="1"/>
    <x v="2"/>
    <x v="1"/>
    <x v="2"/>
    <x v="35"/>
    <x v="0"/>
    <x v="0"/>
    <x v="0"/>
  </r>
  <r>
    <n v="58"/>
    <x v="36"/>
    <x v="36"/>
    <n v="15"/>
    <x v="0"/>
    <x v="0"/>
    <x v="0"/>
    <x v="1"/>
    <x v="36"/>
    <x v="0"/>
    <x v="0"/>
    <x v="1"/>
  </r>
  <r>
    <n v="71"/>
    <x v="37"/>
    <x v="37"/>
    <n v="12"/>
    <x v="2"/>
    <x v="4"/>
    <x v="0"/>
    <x v="3"/>
    <x v="37"/>
    <x v="1"/>
    <x v="1"/>
    <x v="1"/>
  </r>
  <r>
    <n v="35"/>
    <x v="38"/>
    <x v="38"/>
    <n v="9"/>
    <x v="2"/>
    <x v="4"/>
    <x v="2"/>
    <x v="1"/>
    <x v="38"/>
    <x v="1"/>
    <x v="1"/>
    <x v="0"/>
  </r>
  <r>
    <n v="50"/>
    <x v="39"/>
    <x v="39"/>
    <n v="10"/>
    <x v="3"/>
    <x v="1"/>
    <x v="1"/>
    <x v="3"/>
    <x v="39"/>
    <x v="2"/>
    <x v="1"/>
    <x v="0"/>
  </r>
  <r>
    <n v="69"/>
    <x v="40"/>
    <x v="40"/>
    <n v="12"/>
    <x v="4"/>
    <x v="2"/>
    <x v="1"/>
    <x v="2"/>
    <x v="40"/>
    <x v="0"/>
    <x v="0"/>
    <x v="1"/>
  </r>
  <r>
    <n v="47"/>
    <x v="41"/>
    <x v="41"/>
    <n v="17"/>
    <x v="4"/>
    <x v="4"/>
    <x v="0"/>
    <x v="1"/>
    <x v="41"/>
    <x v="2"/>
    <x v="1"/>
    <x v="1"/>
  </r>
  <r>
    <n v="75"/>
    <x v="42"/>
    <x v="3"/>
    <n v="6"/>
    <x v="0"/>
    <x v="0"/>
    <x v="1"/>
    <x v="2"/>
    <x v="42"/>
    <x v="0"/>
    <x v="0"/>
    <x v="0"/>
  </r>
  <r>
    <n v="21"/>
    <x v="43"/>
    <x v="42"/>
    <n v="7"/>
    <x v="4"/>
    <x v="1"/>
    <x v="1"/>
    <x v="3"/>
    <x v="43"/>
    <x v="1"/>
    <x v="1"/>
    <x v="1"/>
  </r>
  <r>
    <n v="61"/>
    <x v="44"/>
    <x v="43"/>
    <n v="14"/>
    <x v="1"/>
    <x v="2"/>
    <x v="2"/>
    <x v="0"/>
    <x v="44"/>
    <x v="2"/>
    <x v="1"/>
    <x v="0"/>
  </r>
  <r>
    <n v="36"/>
    <x v="45"/>
    <x v="44"/>
    <n v="13"/>
    <x v="4"/>
    <x v="3"/>
    <x v="1"/>
    <x v="0"/>
    <x v="45"/>
    <x v="2"/>
    <x v="1"/>
    <x v="0"/>
  </r>
  <r>
    <n v="58"/>
    <x v="46"/>
    <x v="45"/>
    <n v="8"/>
    <x v="0"/>
    <x v="0"/>
    <x v="2"/>
    <x v="1"/>
    <x v="46"/>
    <x v="0"/>
    <x v="0"/>
    <x v="0"/>
  </r>
  <r>
    <n v="45"/>
    <x v="47"/>
    <x v="46"/>
    <n v="10"/>
    <x v="4"/>
    <x v="4"/>
    <x v="0"/>
    <x v="2"/>
    <x v="47"/>
    <x v="1"/>
    <x v="1"/>
    <x v="0"/>
  </r>
  <r>
    <n v="43"/>
    <x v="48"/>
    <x v="41"/>
    <n v="9"/>
    <x v="1"/>
    <x v="4"/>
    <x v="1"/>
    <x v="2"/>
    <x v="48"/>
    <x v="2"/>
    <x v="1"/>
    <x v="1"/>
  </r>
  <r>
    <n v="65"/>
    <x v="49"/>
    <x v="47"/>
    <n v="18"/>
    <x v="3"/>
    <x v="0"/>
    <x v="0"/>
    <x v="1"/>
    <x v="49"/>
    <x v="1"/>
    <x v="1"/>
    <x v="1"/>
  </r>
  <r>
    <n v="18"/>
    <x v="50"/>
    <x v="48"/>
    <n v="2"/>
    <x v="0"/>
    <x v="4"/>
    <x v="0"/>
    <x v="0"/>
    <x v="50"/>
    <x v="2"/>
    <x v="1"/>
    <x v="0"/>
  </r>
  <r>
    <n v="29"/>
    <x v="51"/>
    <x v="49"/>
    <n v="5"/>
    <x v="3"/>
    <x v="1"/>
    <x v="1"/>
    <x v="3"/>
    <x v="51"/>
    <x v="1"/>
    <x v="1"/>
    <x v="0"/>
  </r>
  <r>
    <n v="19"/>
    <x v="52"/>
    <x v="50"/>
    <n v="5"/>
    <x v="3"/>
    <x v="2"/>
    <x v="1"/>
    <x v="1"/>
    <x v="52"/>
    <x v="0"/>
    <x v="0"/>
    <x v="0"/>
  </r>
  <r>
    <n v="22"/>
    <x v="53"/>
    <x v="51"/>
    <n v="6"/>
    <x v="3"/>
    <x v="1"/>
    <x v="0"/>
    <x v="3"/>
    <x v="53"/>
    <x v="2"/>
    <x v="1"/>
    <x v="0"/>
  </r>
  <r>
    <n v="40"/>
    <x v="54"/>
    <x v="52"/>
    <n v="19"/>
    <x v="2"/>
    <x v="4"/>
    <x v="1"/>
    <x v="0"/>
    <x v="54"/>
    <x v="2"/>
    <x v="1"/>
    <x v="0"/>
  </r>
  <r>
    <n v="20"/>
    <x v="55"/>
    <x v="53"/>
    <n v="8"/>
    <x v="2"/>
    <x v="3"/>
    <x v="2"/>
    <x v="2"/>
    <x v="55"/>
    <x v="1"/>
    <x v="1"/>
    <x v="1"/>
  </r>
  <r>
    <n v="71"/>
    <x v="56"/>
    <x v="40"/>
    <n v="16"/>
    <x v="3"/>
    <x v="2"/>
    <x v="2"/>
    <x v="0"/>
    <x v="56"/>
    <x v="1"/>
    <x v="1"/>
    <x v="1"/>
  </r>
  <r>
    <n v="65"/>
    <x v="57"/>
    <x v="54"/>
    <n v="13"/>
    <x v="0"/>
    <x v="2"/>
    <x v="1"/>
    <x v="1"/>
    <x v="57"/>
    <x v="2"/>
    <x v="1"/>
    <x v="1"/>
  </r>
  <r>
    <n v="74"/>
    <x v="58"/>
    <x v="55"/>
    <n v="1"/>
    <x v="1"/>
    <x v="0"/>
    <x v="0"/>
    <x v="2"/>
    <x v="58"/>
    <x v="0"/>
    <x v="0"/>
    <x v="1"/>
  </r>
  <r>
    <n v="57"/>
    <x v="59"/>
    <x v="56"/>
    <n v="20"/>
    <x v="1"/>
    <x v="0"/>
    <x v="1"/>
    <x v="1"/>
    <x v="59"/>
    <x v="1"/>
    <x v="1"/>
    <x v="0"/>
  </r>
  <r>
    <n v="53"/>
    <x v="60"/>
    <x v="57"/>
    <n v="17"/>
    <x v="4"/>
    <x v="3"/>
    <x v="1"/>
    <x v="1"/>
    <x v="60"/>
    <x v="1"/>
    <x v="1"/>
    <x v="0"/>
  </r>
  <r>
    <n v="60"/>
    <x v="61"/>
    <x v="58"/>
    <n v="7"/>
    <x v="0"/>
    <x v="2"/>
    <x v="0"/>
    <x v="0"/>
    <x v="61"/>
    <x v="1"/>
    <x v="1"/>
    <x v="0"/>
  </r>
  <r>
    <n v="26"/>
    <x v="62"/>
    <x v="59"/>
    <n v="13"/>
    <x v="2"/>
    <x v="3"/>
    <x v="0"/>
    <x v="1"/>
    <x v="62"/>
    <x v="2"/>
    <x v="1"/>
    <x v="0"/>
  </r>
  <r>
    <n v="55"/>
    <x v="63"/>
    <x v="60"/>
    <n v="4"/>
    <x v="3"/>
    <x v="0"/>
    <x v="2"/>
    <x v="0"/>
    <x v="63"/>
    <x v="2"/>
    <x v="1"/>
    <x v="0"/>
  </r>
  <r>
    <n v="60"/>
    <x v="64"/>
    <x v="61"/>
    <n v="4"/>
    <x v="4"/>
    <x v="0"/>
    <x v="0"/>
    <x v="2"/>
    <x v="64"/>
    <x v="2"/>
    <x v="1"/>
    <x v="1"/>
  </r>
  <r>
    <n v="44"/>
    <x v="65"/>
    <x v="62"/>
    <n v="6"/>
    <x v="1"/>
    <x v="2"/>
    <x v="2"/>
    <x v="0"/>
    <x v="65"/>
    <x v="2"/>
    <x v="1"/>
    <x v="0"/>
  </r>
  <r>
    <n v="68"/>
    <x v="66"/>
    <x v="14"/>
    <n v="19"/>
    <x v="2"/>
    <x v="1"/>
    <x v="0"/>
    <x v="2"/>
    <x v="66"/>
    <x v="0"/>
    <x v="0"/>
    <x v="1"/>
  </r>
  <r>
    <n v="28"/>
    <x v="67"/>
    <x v="63"/>
    <n v="12"/>
    <x v="2"/>
    <x v="4"/>
    <x v="1"/>
    <x v="0"/>
    <x v="67"/>
    <x v="0"/>
    <x v="0"/>
    <x v="1"/>
  </r>
  <r>
    <n v="72"/>
    <x v="68"/>
    <x v="64"/>
    <n v="7"/>
    <x v="3"/>
    <x v="0"/>
    <x v="2"/>
    <x v="3"/>
    <x v="68"/>
    <x v="2"/>
    <x v="1"/>
    <x v="1"/>
  </r>
  <r>
    <n v="17"/>
    <x v="69"/>
    <x v="65"/>
    <n v="10"/>
    <x v="1"/>
    <x v="0"/>
    <x v="2"/>
    <x v="3"/>
    <x v="69"/>
    <x v="0"/>
    <x v="0"/>
    <x v="1"/>
  </r>
  <r>
    <n v="30"/>
    <x v="70"/>
    <x v="66"/>
    <n v="19"/>
    <x v="0"/>
    <x v="1"/>
    <x v="2"/>
    <x v="1"/>
    <x v="70"/>
    <x v="1"/>
    <x v="1"/>
    <x v="0"/>
  </r>
  <r>
    <n v="65"/>
    <x v="71"/>
    <x v="67"/>
    <n v="7"/>
    <x v="2"/>
    <x v="1"/>
    <x v="1"/>
    <x v="0"/>
    <x v="71"/>
    <x v="1"/>
    <x v="1"/>
    <x v="1"/>
  </r>
  <r>
    <n v="76"/>
    <x v="72"/>
    <x v="68"/>
    <n v="3"/>
    <x v="3"/>
    <x v="3"/>
    <x v="1"/>
    <x v="0"/>
    <x v="72"/>
    <x v="1"/>
    <x v="1"/>
    <x v="1"/>
  </r>
  <r>
    <n v="27"/>
    <x v="73"/>
    <x v="69"/>
    <n v="13"/>
    <x v="0"/>
    <x v="3"/>
    <x v="1"/>
    <x v="2"/>
    <x v="73"/>
    <x v="2"/>
    <x v="1"/>
    <x v="1"/>
  </r>
  <r>
    <n v="34"/>
    <x v="74"/>
    <x v="70"/>
    <n v="13"/>
    <x v="1"/>
    <x v="4"/>
    <x v="1"/>
    <x v="1"/>
    <x v="74"/>
    <x v="1"/>
    <x v="1"/>
    <x v="0"/>
  </r>
  <r>
    <n v="32"/>
    <x v="75"/>
    <x v="60"/>
    <n v="18"/>
    <x v="2"/>
    <x v="4"/>
    <x v="1"/>
    <x v="0"/>
    <x v="75"/>
    <x v="0"/>
    <x v="0"/>
    <x v="0"/>
  </r>
  <r>
    <n v="30"/>
    <x v="76"/>
    <x v="71"/>
    <n v="20"/>
    <x v="0"/>
    <x v="2"/>
    <x v="2"/>
    <x v="1"/>
    <x v="76"/>
    <x v="2"/>
    <x v="1"/>
    <x v="0"/>
  </r>
  <r>
    <n v="72"/>
    <x v="18"/>
    <x v="72"/>
    <n v="8"/>
    <x v="0"/>
    <x v="3"/>
    <x v="1"/>
    <x v="3"/>
    <x v="77"/>
    <x v="0"/>
    <x v="0"/>
    <x v="1"/>
  </r>
  <r>
    <n v="55"/>
    <x v="77"/>
    <x v="73"/>
    <n v="9"/>
    <x v="0"/>
    <x v="0"/>
    <x v="2"/>
    <x v="0"/>
    <x v="78"/>
    <x v="1"/>
    <x v="1"/>
    <x v="1"/>
  </r>
  <r>
    <n v="70"/>
    <x v="78"/>
    <x v="74"/>
    <n v="7"/>
    <x v="2"/>
    <x v="3"/>
    <x v="1"/>
    <x v="0"/>
    <x v="79"/>
    <x v="1"/>
    <x v="1"/>
    <x v="0"/>
  </r>
  <r>
    <n v="24"/>
    <x v="79"/>
    <x v="75"/>
    <n v="1"/>
    <x v="2"/>
    <x v="0"/>
    <x v="0"/>
    <x v="1"/>
    <x v="80"/>
    <x v="1"/>
    <x v="1"/>
    <x v="1"/>
  </r>
  <r>
    <n v="39"/>
    <x v="80"/>
    <x v="76"/>
    <n v="3"/>
    <x v="4"/>
    <x v="1"/>
    <x v="2"/>
    <x v="0"/>
    <x v="81"/>
    <x v="2"/>
    <x v="1"/>
    <x v="0"/>
  </r>
  <r>
    <n v="57"/>
    <x v="81"/>
    <x v="49"/>
    <n v="13"/>
    <x v="1"/>
    <x v="3"/>
    <x v="0"/>
    <x v="1"/>
    <x v="82"/>
    <x v="0"/>
    <x v="0"/>
    <x v="0"/>
  </r>
  <r>
    <n v="73"/>
    <x v="82"/>
    <x v="77"/>
    <n v="17"/>
    <x v="3"/>
    <x v="1"/>
    <x v="2"/>
    <x v="0"/>
    <x v="83"/>
    <x v="2"/>
    <x v="1"/>
    <x v="1"/>
  </r>
  <r>
    <n v="58"/>
    <x v="83"/>
    <x v="78"/>
    <n v="1"/>
    <x v="0"/>
    <x v="4"/>
    <x v="0"/>
    <x v="2"/>
    <x v="84"/>
    <x v="2"/>
    <x v="1"/>
    <x v="1"/>
  </r>
  <r>
    <n v="57"/>
    <x v="84"/>
    <x v="79"/>
    <n v="6"/>
    <x v="4"/>
    <x v="4"/>
    <x v="1"/>
    <x v="1"/>
    <x v="85"/>
    <x v="1"/>
    <x v="1"/>
    <x v="1"/>
  </r>
  <r>
    <n v="32"/>
    <x v="85"/>
    <x v="80"/>
    <n v="6"/>
    <x v="3"/>
    <x v="2"/>
    <x v="1"/>
    <x v="0"/>
    <x v="86"/>
    <x v="2"/>
    <x v="1"/>
    <x v="1"/>
  </r>
  <r>
    <n v="38"/>
    <x v="86"/>
    <x v="81"/>
    <n v="12"/>
    <x v="4"/>
    <x v="3"/>
    <x v="1"/>
    <x v="3"/>
    <x v="87"/>
    <x v="2"/>
    <x v="1"/>
    <x v="0"/>
  </r>
  <r>
    <n v="23"/>
    <x v="87"/>
    <x v="82"/>
    <n v="13"/>
    <x v="2"/>
    <x v="1"/>
    <x v="2"/>
    <x v="0"/>
    <x v="88"/>
    <x v="1"/>
    <x v="1"/>
    <x v="0"/>
  </r>
  <r>
    <n v="48"/>
    <x v="88"/>
    <x v="83"/>
    <n v="13"/>
    <x v="0"/>
    <x v="0"/>
    <x v="0"/>
    <x v="3"/>
    <x v="89"/>
    <x v="2"/>
    <x v="1"/>
    <x v="0"/>
  </r>
  <r>
    <n v="69"/>
    <x v="89"/>
    <x v="84"/>
    <n v="15"/>
    <x v="3"/>
    <x v="4"/>
    <x v="1"/>
    <x v="3"/>
    <x v="90"/>
    <x v="1"/>
    <x v="1"/>
    <x v="0"/>
  </r>
  <r>
    <n v="33"/>
    <x v="90"/>
    <x v="85"/>
    <n v="16"/>
    <x v="3"/>
    <x v="4"/>
    <x v="0"/>
    <x v="2"/>
    <x v="91"/>
    <x v="1"/>
    <x v="1"/>
    <x v="0"/>
  </r>
  <r>
    <n v="30"/>
    <x v="91"/>
    <x v="86"/>
    <n v="11"/>
    <x v="3"/>
    <x v="0"/>
    <x v="0"/>
    <x v="1"/>
    <x v="92"/>
    <x v="1"/>
    <x v="1"/>
    <x v="1"/>
  </r>
  <r>
    <n v="42"/>
    <x v="92"/>
    <x v="87"/>
    <n v="5"/>
    <x v="3"/>
    <x v="1"/>
    <x v="1"/>
    <x v="0"/>
    <x v="93"/>
    <x v="1"/>
    <x v="1"/>
    <x v="0"/>
  </r>
  <r>
    <n v="30"/>
    <x v="93"/>
    <x v="88"/>
    <n v="4"/>
    <x v="3"/>
    <x v="1"/>
    <x v="1"/>
    <x v="2"/>
    <x v="94"/>
    <x v="2"/>
    <x v="1"/>
    <x v="0"/>
  </r>
  <r>
    <n v="47"/>
    <x v="94"/>
    <x v="89"/>
    <n v="3"/>
    <x v="4"/>
    <x v="3"/>
    <x v="0"/>
    <x v="0"/>
    <x v="95"/>
    <x v="1"/>
    <x v="1"/>
    <x v="0"/>
  </r>
  <r>
    <n v="45"/>
    <x v="95"/>
    <x v="90"/>
    <n v="19"/>
    <x v="0"/>
    <x v="3"/>
    <x v="1"/>
    <x v="3"/>
    <x v="96"/>
    <x v="1"/>
    <x v="1"/>
    <x v="1"/>
  </r>
  <r>
    <n v="51"/>
    <x v="96"/>
    <x v="91"/>
    <n v="20"/>
    <x v="2"/>
    <x v="2"/>
    <x v="1"/>
    <x v="1"/>
    <x v="97"/>
    <x v="2"/>
    <x v="1"/>
    <x v="1"/>
  </r>
  <r>
    <n v="75"/>
    <x v="97"/>
    <x v="92"/>
    <n v="18"/>
    <x v="2"/>
    <x v="4"/>
    <x v="1"/>
    <x v="0"/>
    <x v="98"/>
    <x v="2"/>
    <x v="1"/>
    <x v="1"/>
  </r>
  <r>
    <n v="70"/>
    <x v="98"/>
    <x v="93"/>
    <n v="15"/>
    <x v="2"/>
    <x v="3"/>
    <x v="2"/>
    <x v="0"/>
    <x v="99"/>
    <x v="0"/>
    <x v="0"/>
    <x v="1"/>
  </r>
  <r>
    <n v="75"/>
    <x v="99"/>
    <x v="94"/>
    <n v="9"/>
    <x v="2"/>
    <x v="1"/>
    <x v="0"/>
    <x v="3"/>
    <x v="100"/>
    <x v="2"/>
    <x v="1"/>
    <x v="0"/>
  </r>
  <r>
    <n v="38"/>
    <x v="100"/>
    <x v="95"/>
    <n v="17"/>
    <x v="4"/>
    <x v="0"/>
    <x v="0"/>
    <x v="0"/>
    <x v="101"/>
    <x v="2"/>
    <x v="1"/>
    <x v="0"/>
  </r>
  <r>
    <n v="58"/>
    <x v="101"/>
    <x v="96"/>
    <n v="14"/>
    <x v="1"/>
    <x v="1"/>
    <x v="2"/>
    <x v="0"/>
    <x v="102"/>
    <x v="0"/>
    <x v="0"/>
    <x v="1"/>
  </r>
  <r>
    <n v="46"/>
    <x v="102"/>
    <x v="97"/>
    <n v="15"/>
    <x v="0"/>
    <x v="4"/>
    <x v="0"/>
    <x v="3"/>
    <x v="103"/>
    <x v="2"/>
    <x v="1"/>
    <x v="1"/>
  </r>
  <r>
    <n v="21"/>
    <x v="103"/>
    <x v="98"/>
    <n v="1"/>
    <x v="3"/>
    <x v="1"/>
    <x v="1"/>
    <x v="2"/>
    <x v="104"/>
    <x v="2"/>
    <x v="1"/>
    <x v="0"/>
  </r>
  <r>
    <n v="62"/>
    <x v="104"/>
    <x v="99"/>
    <n v="3"/>
    <x v="1"/>
    <x v="2"/>
    <x v="0"/>
    <x v="3"/>
    <x v="105"/>
    <x v="2"/>
    <x v="1"/>
    <x v="0"/>
  </r>
  <r>
    <n v="52"/>
    <x v="105"/>
    <x v="100"/>
    <n v="16"/>
    <x v="2"/>
    <x v="4"/>
    <x v="1"/>
    <x v="2"/>
    <x v="106"/>
    <x v="2"/>
    <x v="1"/>
    <x v="1"/>
  </r>
  <r>
    <n v="31"/>
    <x v="106"/>
    <x v="101"/>
    <n v="11"/>
    <x v="1"/>
    <x v="0"/>
    <x v="2"/>
    <x v="1"/>
    <x v="107"/>
    <x v="0"/>
    <x v="0"/>
    <x v="1"/>
  </r>
  <r>
    <n v="63"/>
    <x v="78"/>
    <x v="102"/>
    <n v="12"/>
    <x v="0"/>
    <x v="2"/>
    <x v="1"/>
    <x v="2"/>
    <x v="108"/>
    <x v="2"/>
    <x v="1"/>
    <x v="1"/>
  </r>
  <r>
    <n v="72"/>
    <x v="107"/>
    <x v="103"/>
    <n v="10"/>
    <x v="3"/>
    <x v="4"/>
    <x v="0"/>
    <x v="2"/>
    <x v="109"/>
    <x v="2"/>
    <x v="1"/>
    <x v="1"/>
  </r>
  <r>
    <n v="59"/>
    <x v="108"/>
    <x v="104"/>
    <n v="16"/>
    <x v="3"/>
    <x v="0"/>
    <x v="0"/>
    <x v="1"/>
    <x v="110"/>
    <x v="0"/>
    <x v="0"/>
    <x v="0"/>
  </r>
  <r>
    <n v="67"/>
    <x v="109"/>
    <x v="105"/>
    <n v="8"/>
    <x v="0"/>
    <x v="2"/>
    <x v="0"/>
    <x v="2"/>
    <x v="111"/>
    <x v="1"/>
    <x v="1"/>
    <x v="0"/>
  </r>
  <r>
    <n v="20"/>
    <x v="110"/>
    <x v="43"/>
    <n v="6"/>
    <x v="0"/>
    <x v="2"/>
    <x v="2"/>
    <x v="3"/>
    <x v="112"/>
    <x v="0"/>
    <x v="0"/>
    <x v="0"/>
  </r>
  <r>
    <n v="27"/>
    <x v="111"/>
    <x v="106"/>
    <n v="12"/>
    <x v="2"/>
    <x v="4"/>
    <x v="2"/>
    <x v="2"/>
    <x v="113"/>
    <x v="1"/>
    <x v="1"/>
    <x v="1"/>
  </r>
  <r>
    <n v="38"/>
    <x v="112"/>
    <x v="107"/>
    <n v="8"/>
    <x v="3"/>
    <x v="3"/>
    <x v="0"/>
    <x v="1"/>
    <x v="114"/>
    <x v="0"/>
    <x v="0"/>
    <x v="1"/>
  </r>
  <r>
    <n v="24"/>
    <x v="57"/>
    <x v="108"/>
    <n v="4"/>
    <x v="1"/>
    <x v="2"/>
    <x v="1"/>
    <x v="3"/>
    <x v="115"/>
    <x v="0"/>
    <x v="0"/>
    <x v="0"/>
  </r>
  <r>
    <n v="28"/>
    <x v="113"/>
    <x v="109"/>
    <n v="8"/>
    <x v="4"/>
    <x v="2"/>
    <x v="2"/>
    <x v="1"/>
    <x v="116"/>
    <x v="2"/>
    <x v="1"/>
    <x v="0"/>
  </r>
  <r>
    <n v="65"/>
    <x v="114"/>
    <x v="110"/>
    <n v="18"/>
    <x v="4"/>
    <x v="0"/>
    <x v="0"/>
    <x v="1"/>
    <x v="117"/>
    <x v="1"/>
    <x v="1"/>
    <x v="0"/>
  </r>
  <r>
    <n v="22"/>
    <x v="115"/>
    <x v="111"/>
    <n v="5"/>
    <x v="0"/>
    <x v="1"/>
    <x v="0"/>
    <x v="0"/>
    <x v="118"/>
    <x v="2"/>
    <x v="1"/>
    <x v="0"/>
  </r>
  <r>
    <n v="44"/>
    <x v="116"/>
    <x v="112"/>
    <n v="9"/>
    <x v="2"/>
    <x v="4"/>
    <x v="2"/>
    <x v="0"/>
    <x v="119"/>
    <x v="1"/>
    <x v="1"/>
    <x v="1"/>
  </r>
  <r>
    <n v="27"/>
    <x v="117"/>
    <x v="113"/>
    <n v="4"/>
    <x v="4"/>
    <x v="4"/>
    <x v="2"/>
    <x v="1"/>
    <x v="120"/>
    <x v="0"/>
    <x v="0"/>
    <x v="0"/>
  </r>
  <r>
    <n v="22"/>
    <x v="118"/>
    <x v="114"/>
    <n v="17"/>
    <x v="3"/>
    <x v="3"/>
    <x v="2"/>
    <x v="1"/>
    <x v="121"/>
    <x v="0"/>
    <x v="0"/>
    <x v="0"/>
  </r>
  <r>
    <n v="57"/>
    <x v="119"/>
    <x v="115"/>
    <n v="9"/>
    <x v="0"/>
    <x v="3"/>
    <x v="1"/>
    <x v="1"/>
    <x v="122"/>
    <x v="1"/>
    <x v="1"/>
    <x v="0"/>
  </r>
  <r>
    <n v="70"/>
    <x v="120"/>
    <x v="116"/>
    <n v="1"/>
    <x v="1"/>
    <x v="4"/>
    <x v="1"/>
    <x v="0"/>
    <x v="123"/>
    <x v="2"/>
    <x v="1"/>
    <x v="0"/>
  </r>
  <r>
    <n v="63"/>
    <x v="41"/>
    <x v="46"/>
    <n v="20"/>
    <x v="0"/>
    <x v="3"/>
    <x v="0"/>
    <x v="0"/>
    <x v="124"/>
    <x v="2"/>
    <x v="1"/>
    <x v="0"/>
  </r>
  <r>
    <n v="51"/>
    <x v="121"/>
    <x v="117"/>
    <n v="13"/>
    <x v="1"/>
    <x v="0"/>
    <x v="2"/>
    <x v="2"/>
    <x v="125"/>
    <x v="2"/>
    <x v="1"/>
    <x v="0"/>
  </r>
  <r>
    <n v="27"/>
    <x v="122"/>
    <x v="118"/>
    <n v="16"/>
    <x v="0"/>
    <x v="4"/>
    <x v="1"/>
    <x v="2"/>
    <x v="126"/>
    <x v="2"/>
    <x v="1"/>
    <x v="0"/>
  </r>
  <r>
    <n v="24"/>
    <x v="123"/>
    <x v="119"/>
    <n v="13"/>
    <x v="0"/>
    <x v="3"/>
    <x v="2"/>
    <x v="1"/>
    <x v="127"/>
    <x v="0"/>
    <x v="0"/>
    <x v="1"/>
  </r>
  <r>
    <n v="76"/>
    <x v="124"/>
    <x v="120"/>
    <n v="14"/>
    <x v="0"/>
    <x v="4"/>
    <x v="0"/>
    <x v="3"/>
    <x v="128"/>
    <x v="0"/>
    <x v="0"/>
    <x v="1"/>
  </r>
  <r>
    <n v="46"/>
    <x v="125"/>
    <x v="121"/>
    <n v="3"/>
    <x v="1"/>
    <x v="1"/>
    <x v="1"/>
    <x v="3"/>
    <x v="129"/>
    <x v="0"/>
    <x v="0"/>
    <x v="1"/>
  </r>
  <r>
    <n v="51"/>
    <x v="126"/>
    <x v="122"/>
    <n v="6"/>
    <x v="1"/>
    <x v="2"/>
    <x v="1"/>
    <x v="0"/>
    <x v="130"/>
    <x v="0"/>
    <x v="0"/>
    <x v="1"/>
  </r>
  <r>
    <n v="63"/>
    <x v="127"/>
    <x v="123"/>
    <n v="18"/>
    <x v="0"/>
    <x v="4"/>
    <x v="1"/>
    <x v="0"/>
    <x v="131"/>
    <x v="0"/>
    <x v="0"/>
    <x v="0"/>
  </r>
  <r>
    <n v="69"/>
    <x v="128"/>
    <x v="124"/>
    <n v="19"/>
    <x v="4"/>
    <x v="2"/>
    <x v="0"/>
    <x v="0"/>
    <x v="132"/>
    <x v="2"/>
    <x v="1"/>
    <x v="1"/>
  </r>
  <r>
    <n v="56"/>
    <x v="129"/>
    <x v="125"/>
    <n v="5"/>
    <x v="2"/>
    <x v="3"/>
    <x v="2"/>
    <x v="1"/>
    <x v="133"/>
    <x v="2"/>
    <x v="1"/>
    <x v="1"/>
  </r>
  <r>
    <n v="19"/>
    <x v="130"/>
    <x v="126"/>
    <n v="15"/>
    <x v="2"/>
    <x v="2"/>
    <x v="1"/>
    <x v="3"/>
    <x v="134"/>
    <x v="2"/>
    <x v="1"/>
    <x v="0"/>
  </r>
  <r>
    <n v="57"/>
    <x v="131"/>
    <x v="79"/>
    <n v="2"/>
    <x v="2"/>
    <x v="4"/>
    <x v="0"/>
    <x v="2"/>
    <x v="135"/>
    <x v="2"/>
    <x v="1"/>
    <x v="0"/>
  </r>
  <r>
    <n v="45"/>
    <x v="132"/>
    <x v="127"/>
    <n v="10"/>
    <x v="1"/>
    <x v="1"/>
    <x v="2"/>
    <x v="1"/>
    <x v="136"/>
    <x v="0"/>
    <x v="0"/>
    <x v="1"/>
  </r>
  <r>
    <n v="34"/>
    <x v="67"/>
    <x v="128"/>
    <n v="18"/>
    <x v="1"/>
    <x v="3"/>
    <x v="0"/>
    <x v="2"/>
    <x v="137"/>
    <x v="0"/>
    <x v="0"/>
    <x v="1"/>
  </r>
  <r>
    <n v="55"/>
    <x v="133"/>
    <x v="129"/>
    <n v="13"/>
    <x v="4"/>
    <x v="4"/>
    <x v="2"/>
    <x v="2"/>
    <x v="138"/>
    <x v="0"/>
    <x v="0"/>
    <x v="0"/>
  </r>
  <r>
    <n v="17"/>
    <x v="134"/>
    <x v="1"/>
    <n v="5"/>
    <x v="2"/>
    <x v="3"/>
    <x v="0"/>
    <x v="1"/>
    <x v="139"/>
    <x v="1"/>
    <x v="1"/>
    <x v="1"/>
  </r>
  <r>
    <n v="18"/>
    <x v="33"/>
    <x v="130"/>
    <n v="1"/>
    <x v="2"/>
    <x v="0"/>
    <x v="2"/>
    <x v="2"/>
    <x v="140"/>
    <x v="2"/>
    <x v="1"/>
    <x v="0"/>
  </r>
  <r>
    <n v="61"/>
    <x v="133"/>
    <x v="131"/>
    <n v="1"/>
    <x v="0"/>
    <x v="2"/>
    <x v="1"/>
    <x v="3"/>
    <x v="141"/>
    <x v="2"/>
    <x v="1"/>
    <x v="0"/>
  </r>
  <r>
    <n v="46"/>
    <x v="114"/>
    <x v="110"/>
    <n v="18"/>
    <x v="1"/>
    <x v="0"/>
    <x v="2"/>
    <x v="2"/>
    <x v="142"/>
    <x v="0"/>
    <x v="0"/>
    <x v="0"/>
  </r>
  <r>
    <n v="58"/>
    <x v="135"/>
    <x v="132"/>
    <n v="15"/>
    <x v="2"/>
    <x v="4"/>
    <x v="0"/>
    <x v="3"/>
    <x v="143"/>
    <x v="2"/>
    <x v="1"/>
    <x v="0"/>
  </r>
  <r>
    <n v="59"/>
    <x v="136"/>
    <x v="109"/>
    <n v="17"/>
    <x v="4"/>
    <x v="1"/>
    <x v="0"/>
    <x v="3"/>
    <x v="144"/>
    <x v="2"/>
    <x v="1"/>
    <x v="1"/>
  </r>
  <r>
    <n v="75"/>
    <x v="60"/>
    <x v="133"/>
    <n v="11"/>
    <x v="4"/>
    <x v="3"/>
    <x v="2"/>
    <x v="3"/>
    <x v="145"/>
    <x v="0"/>
    <x v="0"/>
    <x v="0"/>
  </r>
  <r>
    <n v="40"/>
    <x v="137"/>
    <x v="97"/>
    <n v="17"/>
    <x v="2"/>
    <x v="2"/>
    <x v="1"/>
    <x v="0"/>
    <x v="146"/>
    <x v="1"/>
    <x v="1"/>
    <x v="0"/>
  </r>
  <r>
    <n v="46"/>
    <x v="130"/>
    <x v="134"/>
    <n v="13"/>
    <x v="1"/>
    <x v="3"/>
    <x v="1"/>
    <x v="2"/>
    <x v="147"/>
    <x v="1"/>
    <x v="1"/>
    <x v="1"/>
  </r>
  <r>
    <n v="74"/>
    <x v="81"/>
    <x v="135"/>
    <n v="1"/>
    <x v="4"/>
    <x v="4"/>
    <x v="2"/>
    <x v="1"/>
    <x v="148"/>
    <x v="1"/>
    <x v="1"/>
    <x v="0"/>
  </r>
  <r>
    <n v="60"/>
    <x v="138"/>
    <x v="133"/>
    <n v="2"/>
    <x v="0"/>
    <x v="3"/>
    <x v="2"/>
    <x v="1"/>
    <x v="149"/>
    <x v="0"/>
    <x v="0"/>
    <x v="1"/>
  </r>
  <r>
    <n v="21"/>
    <x v="31"/>
    <x v="136"/>
    <n v="9"/>
    <x v="4"/>
    <x v="2"/>
    <x v="0"/>
    <x v="2"/>
    <x v="150"/>
    <x v="2"/>
    <x v="1"/>
    <x v="1"/>
  </r>
  <r>
    <n v="62"/>
    <x v="139"/>
    <x v="137"/>
    <n v="3"/>
    <x v="3"/>
    <x v="4"/>
    <x v="1"/>
    <x v="0"/>
    <x v="151"/>
    <x v="0"/>
    <x v="0"/>
    <x v="1"/>
  </r>
  <r>
    <n v="68"/>
    <x v="140"/>
    <x v="138"/>
    <n v="1"/>
    <x v="3"/>
    <x v="3"/>
    <x v="2"/>
    <x v="0"/>
    <x v="152"/>
    <x v="0"/>
    <x v="0"/>
    <x v="0"/>
  </r>
  <r>
    <n v="47"/>
    <x v="141"/>
    <x v="2"/>
    <n v="16"/>
    <x v="1"/>
    <x v="1"/>
    <x v="1"/>
    <x v="3"/>
    <x v="153"/>
    <x v="2"/>
    <x v="1"/>
    <x v="1"/>
  </r>
  <r>
    <n v="17"/>
    <x v="142"/>
    <x v="139"/>
    <n v="6"/>
    <x v="2"/>
    <x v="4"/>
    <x v="2"/>
    <x v="2"/>
    <x v="154"/>
    <x v="1"/>
    <x v="1"/>
    <x v="1"/>
  </r>
  <r>
    <n v="62"/>
    <x v="0"/>
    <x v="140"/>
    <n v="17"/>
    <x v="1"/>
    <x v="4"/>
    <x v="2"/>
    <x v="2"/>
    <x v="155"/>
    <x v="1"/>
    <x v="1"/>
    <x v="0"/>
  </r>
  <r>
    <n v="36"/>
    <x v="143"/>
    <x v="43"/>
    <n v="5"/>
    <x v="1"/>
    <x v="1"/>
    <x v="1"/>
    <x v="1"/>
    <x v="156"/>
    <x v="0"/>
    <x v="0"/>
    <x v="1"/>
  </r>
  <r>
    <n v="30"/>
    <x v="144"/>
    <x v="141"/>
    <n v="5"/>
    <x v="1"/>
    <x v="0"/>
    <x v="2"/>
    <x v="2"/>
    <x v="157"/>
    <x v="1"/>
    <x v="1"/>
    <x v="1"/>
  </r>
  <r>
    <n v="62"/>
    <x v="145"/>
    <x v="142"/>
    <n v="6"/>
    <x v="1"/>
    <x v="2"/>
    <x v="2"/>
    <x v="0"/>
    <x v="158"/>
    <x v="0"/>
    <x v="0"/>
    <x v="1"/>
  </r>
  <r>
    <n v="32"/>
    <x v="146"/>
    <x v="143"/>
    <n v="3"/>
    <x v="0"/>
    <x v="0"/>
    <x v="0"/>
    <x v="2"/>
    <x v="159"/>
    <x v="0"/>
    <x v="0"/>
    <x v="1"/>
  </r>
  <r>
    <n v="54"/>
    <x v="147"/>
    <x v="144"/>
    <n v="5"/>
    <x v="0"/>
    <x v="3"/>
    <x v="2"/>
    <x v="1"/>
    <x v="160"/>
    <x v="2"/>
    <x v="1"/>
    <x v="1"/>
  </r>
  <r>
    <n v="38"/>
    <x v="148"/>
    <x v="145"/>
    <n v="5"/>
    <x v="4"/>
    <x v="1"/>
    <x v="2"/>
    <x v="3"/>
    <x v="161"/>
    <x v="2"/>
    <x v="1"/>
    <x v="0"/>
  </r>
  <r>
    <n v="38"/>
    <x v="149"/>
    <x v="146"/>
    <n v="10"/>
    <x v="3"/>
    <x v="0"/>
    <x v="2"/>
    <x v="1"/>
    <x v="162"/>
    <x v="2"/>
    <x v="1"/>
    <x v="1"/>
  </r>
  <r>
    <n v="44"/>
    <x v="150"/>
    <x v="96"/>
    <n v="10"/>
    <x v="1"/>
    <x v="4"/>
    <x v="0"/>
    <x v="1"/>
    <x v="163"/>
    <x v="0"/>
    <x v="0"/>
    <x v="1"/>
  </r>
  <r>
    <n v="71"/>
    <x v="151"/>
    <x v="147"/>
    <n v="19"/>
    <x v="4"/>
    <x v="3"/>
    <x v="1"/>
    <x v="3"/>
    <x v="164"/>
    <x v="2"/>
    <x v="1"/>
    <x v="0"/>
  </r>
  <r>
    <n v="26"/>
    <x v="152"/>
    <x v="148"/>
    <n v="17"/>
    <x v="3"/>
    <x v="3"/>
    <x v="0"/>
    <x v="1"/>
    <x v="165"/>
    <x v="1"/>
    <x v="1"/>
    <x v="0"/>
  </r>
  <r>
    <n v="57"/>
    <x v="153"/>
    <x v="46"/>
    <n v="14"/>
    <x v="2"/>
    <x v="0"/>
    <x v="0"/>
    <x v="1"/>
    <x v="166"/>
    <x v="1"/>
    <x v="1"/>
    <x v="0"/>
  </r>
  <r>
    <n v="65"/>
    <x v="154"/>
    <x v="149"/>
    <n v="9"/>
    <x v="0"/>
    <x v="0"/>
    <x v="1"/>
    <x v="2"/>
    <x v="167"/>
    <x v="0"/>
    <x v="0"/>
    <x v="1"/>
  </r>
  <r>
    <n v="74"/>
    <x v="34"/>
    <x v="150"/>
    <n v="14"/>
    <x v="3"/>
    <x v="1"/>
    <x v="0"/>
    <x v="2"/>
    <x v="168"/>
    <x v="0"/>
    <x v="0"/>
    <x v="0"/>
  </r>
  <r>
    <n v="41"/>
    <x v="155"/>
    <x v="151"/>
    <n v="1"/>
    <x v="2"/>
    <x v="2"/>
    <x v="1"/>
    <x v="3"/>
    <x v="169"/>
    <x v="2"/>
    <x v="1"/>
    <x v="1"/>
  </r>
  <r>
    <n v="35"/>
    <x v="156"/>
    <x v="152"/>
    <n v="19"/>
    <x v="3"/>
    <x v="0"/>
    <x v="0"/>
    <x v="2"/>
    <x v="170"/>
    <x v="0"/>
    <x v="0"/>
    <x v="1"/>
  </r>
  <r>
    <n v="76"/>
    <x v="157"/>
    <x v="153"/>
    <n v="13"/>
    <x v="0"/>
    <x v="0"/>
    <x v="1"/>
    <x v="2"/>
    <x v="171"/>
    <x v="0"/>
    <x v="0"/>
    <x v="0"/>
  </r>
  <r>
    <n v="45"/>
    <x v="82"/>
    <x v="154"/>
    <n v="13"/>
    <x v="0"/>
    <x v="4"/>
    <x v="2"/>
    <x v="1"/>
    <x v="172"/>
    <x v="1"/>
    <x v="1"/>
    <x v="0"/>
  </r>
  <r>
    <n v="63"/>
    <x v="158"/>
    <x v="155"/>
    <n v="4"/>
    <x v="4"/>
    <x v="3"/>
    <x v="0"/>
    <x v="0"/>
    <x v="173"/>
    <x v="1"/>
    <x v="1"/>
    <x v="1"/>
  </r>
  <r>
    <n v="37"/>
    <x v="159"/>
    <x v="156"/>
    <n v="1"/>
    <x v="1"/>
    <x v="2"/>
    <x v="0"/>
    <x v="2"/>
    <x v="174"/>
    <x v="2"/>
    <x v="1"/>
    <x v="0"/>
  </r>
  <r>
    <n v="66"/>
    <x v="160"/>
    <x v="157"/>
    <n v="17"/>
    <x v="3"/>
    <x v="4"/>
    <x v="0"/>
    <x v="0"/>
    <x v="175"/>
    <x v="0"/>
    <x v="0"/>
    <x v="1"/>
  </r>
  <r>
    <n v="35"/>
    <x v="161"/>
    <x v="158"/>
    <n v="8"/>
    <x v="3"/>
    <x v="1"/>
    <x v="0"/>
    <x v="2"/>
    <x v="176"/>
    <x v="0"/>
    <x v="0"/>
    <x v="0"/>
  </r>
  <r>
    <n v="53"/>
    <x v="37"/>
    <x v="159"/>
    <n v="2"/>
    <x v="2"/>
    <x v="1"/>
    <x v="2"/>
    <x v="2"/>
    <x v="177"/>
    <x v="1"/>
    <x v="1"/>
    <x v="0"/>
  </r>
  <r>
    <n v="20"/>
    <x v="162"/>
    <x v="160"/>
    <n v="8"/>
    <x v="0"/>
    <x v="0"/>
    <x v="0"/>
    <x v="3"/>
    <x v="178"/>
    <x v="0"/>
    <x v="0"/>
    <x v="0"/>
  </r>
  <r>
    <n v="68"/>
    <x v="163"/>
    <x v="161"/>
    <n v="7"/>
    <x v="3"/>
    <x v="0"/>
    <x v="2"/>
    <x v="3"/>
    <x v="179"/>
    <x v="1"/>
    <x v="1"/>
    <x v="1"/>
  </r>
  <r>
    <n v="56"/>
    <x v="164"/>
    <x v="162"/>
    <n v="2"/>
    <x v="0"/>
    <x v="1"/>
    <x v="2"/>
    <x v="3"/>
    <x v="180"/>
    <x v="2"/>
    <x v="1"/>
    <x v="0"/>
  </r>
  <r>
    <n v="70"/>
    <x v="66"/>
    <x v="108"/>
    <n v="3"/>
    <x v="3"/>
    <x v="0"/>
    <x v="2"/>
    <x v="0"/>
    <x v="181"/>
    <x v="1"/>
    <x v="1"/>
    <x v="1"/>
  </r>
  <r>
    <n v="20"/>
    <x v="165"/>
    <x v="163"/>
    <n v="18"/>
    <x v="4"/>
    <x v="2"/>
    <x v="2"/>
    <x v="1"/>
    <x v="182"/>
    <x v="0"/>
    <x v="0"/>
    <x v="1"/>
  </r>
  <r>
    <n v="23"/>
    <x v="64"/>
    <x v="164"/>
    <n v="12"/>
    <x v="1"/>
    <x v="0"/>
    <x v="1"/>
    <x v="2"/>
    <x v="183"/>
    <x v="2"/>
    <x v="1"/>
    <x v="1"/>
  </r>
  <r>
    <n v="61"/>
    <x v="166"/>
    <x v="165"/>
    <n v="1"/>
    <x v="3"/>
    <x v="3"/>
    <x v="1"/>
    <x v="2"/>
    <x v="184"/>
    <x v="1"/>
    <x v="1"/>
    <x v="1"/>
  </r>
  <r>
    <n v="36"/>
    <x v="167"/>
    <x v="166"/>
    <n v="12"/>
    <x v="0"/>
    <x v="0"/>
    <x v="0"/>
    <x v="2"/>
    <x v="185"/>
    <x v="1"/>
    <x v="1"/>
    <x v="0"/>
  </r>
  <r>
    <n v="27"/>
    <x v="163"/>
    <x v="167"/>
    <n v="5"/>
    <x v="4"/>
    <x v="4"/>
    <x v="1"/>
    <x v="0"/>
    <x v="186"/>
    <x v="2"/>
    <x v="1"/>
    <x v="1"/>
  </r>
  <r>
    <n v="43"/>
    <x v="39"/>
    <x v="168"/>
    <n v="17"/>
    <x v="3"/>
    <x v="2"/>
    <x v="1"/>
    <x v="3"/>
    <x v="187"/>
    <x v="2"/>
    <x v="1"/>
    <x v="1"/>
  </r>
  <r>
    <n v="44"/>
    <x v="168"/>
    <x v="17"/>
    <n v="16"/>
    <x v="2"/>
    <x v="4"/>
    <x v="0"/>
    <x v="1"/>
    <x v="188"/>
    <x v="1"/>
    <x v="1"/>
    <x v="0"/>
  </r>
  <r>
    <n v="62"/>
    <x v="169"/>
    <x v="169"/>
    <n v="15"/>
    <x v="1"/>
    <x v="4"/>
    <x v="0"/>
    <x v="0"/>
    <x v="189"/>
    <x v="0"/>
    <x v="0"/>
    <x v="1"/>
  </r>
  <r>
    <n v="71"/>
    <x v="170"/>
    <x v="170"/>
    <n v="15"/>
    <x v="3"/>
    <x v="3"/>
    <x v="0"/>
    <x v="3"/>
    <x v="190"/>
    <x v="1"/>
    <x v="1"/>
    <x v="0"/>
  </r>
  <r>
    <n v="22"/>
    <x v="171"/>
    <x v="109"/>
    <n v="5"/>
    <x v="4"/>
    <x v="2"/>
    <x v="1"/>
    <x v="0"/>
    <x v="191"/>
    <x v="2"/>
    <x v="1"/>
    <x v="1"/>
  </r>
  <r>
    <n v="22"/>
    <x v="172"/>
    <x v="171"/>
    <n v="14"/>
    <x v="2"/>
    <x v="2"/>
    <x v="1"/>
    <x v="1"/>
    <x v="192"/>
    <x v="1"/>
    <x v="1"/>
    <x v="0"/>
  </r>
  <r>
    <n v="38"/>
    <x v="173"/>
    <x v="172"/>
    <n v="2"/>
    <x v="4"/>
    <x v="2"/>
    <x v="0"/>
    <x v="3"/>
    <x v="193"/>
    <x v="2"/>
    <x v="1"/>
    <x v="1"/>
  </r>
  <r>
    <n v="56"/>
    <x v="174"/>
    <x v="173"/>
    <n v="11"/>
    <x v="4"/>
    <x v="2"/>
    <x v="2"/>
    <x v="0"/>
    <x v="194"/>
    <x v="2"/>
    <x v="1"/>
    <x v="0"/>
  </r>
  <r>
    <n v="55"/>
    <x v="175"/>
    <x v="174"/>
    <n v="19"/>
    <x v="2"/>
    <x v="2"/>
    <x v="0"/>
    <x v="1"/>
    <x v="195"/>
    <x v="0"/>
    <x v="0"/>
    <x v="1"/>
  </r>
  <r>
    <n v="32"/>
    <x v="176"/>
    <x v="175"/>
    <n v="7"/>
    <x v="4"/>
    <x v="3"/>
    <x v="2"/>
    <x v="2"/>
    <x v="196"/>
    <x v="2"/>
    <x v="1"/>
    <x v="1"/>
  </r>
  <r>
    <n v="22"/>
    <x v="46"/>
    <x v="176"/>
    <n v="6"/>
    <x v="2"/>
    <x v="0"/>
    <x v="2"/>
    <x v="1"/>
    <x v="197"/>
    <x v="2"/>
    <x v="1"/>
    <x v="0"/>
  </r>
  <r>
    <n v="23"/>
    <x v="168"/>
    <x v="177"/>
    <n v="2"/>
    <x v="3"/>
    <x v="4"/>
    <x v="0"/>
    <x v="2"/>
    <x v="198"/>
    <x v="0"/>
    <x v="0"/>
    <x v="0"/>
  </r>
  <r>
    <n v="29"/>
    <x v="177"/>
    <x v="178"/>
    <n v="6"/>
    <x v="2"/>
    <x v="2"/>
    <x v="0"/>
    <x v="0"/>
    <x v="199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01686-DEDD-4B8F-889E-23DDDA459169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>
  <location ref="B31:C33" firstHeaderRow="1" firstDataRow="1" firstDataCol="1"/>
  <pivotFields count="15">
    <pivotField numFmtId="14" showAll="0"/>
    <pivotField showAll="0"/>
    <pivotField numFmtId="14" showAll="0"/>
    <pivotField numFmtId="14" showAll="0"/>
    <pivotField numFmtId="1" showAll="0"/>
    <pivotField showAll="0">
      <items count="6">
        <item h="1" x="0"/>
        <item h="1" x="4"/>
        <item x="3"/>
        <item h="1" x="2"/>
        <item h="1" x="1"/>
        <item t="default"/>
      </items>
    </pivotField>
    <pivotField showAll="0"/>
    <pivotField showAll="0"/>
    <pivotField showAll="0"/>
    <pivotField dataField="1" numFmtId="164" showAll="0">
      <items count="201">
        <item h="1" x="172"/>
        <item h="1" x="92"/>
        <item h="1" x="34"/>
        <item h="1" x="132"/>
        <item h="1" x="179"/>
        <item h="1" x="157"/>
        <item h="1" x="124"/>
        <item h="1" x="191"/>
        <item h="1" x="149"/>
        <item h="1" x="58"/>
        <item h="1" x="87"/>
        <item h="1" x="164"/>
        <item h="1" x="72"/>
        <item h="1" x="11"/>
        <item h="1" x="184"/>
        <item h="1" x="45"/>
        <item h="1" x="13"/>
        <item h="1" x="91"/>
        <item h="1" x="192"/>
        <item h="1" x="177"/>
        <item h="1" x="78"/>
        <item h="1" x="125"/>
        <item h="1" x="46"/>
        <item h="1" x="110"/>
        <item h="1" x="112"/>
        <item h="1" x="5"/>
        <item h="1" x="190"/>
        <item h="1" x="65"/>
        <item h="1" x="36"/>
        <item h="1" x="168"/>
        <item h="1" x="98"/>
        <item h="1" x="117"/>
        <item h="1" x="81"/>
        <item h="1" x="84"/>
        <item h="1" x="156"/>
        <item h="1" x="64"/>
        <item h="1" x="62"/>
        <item h="1" x="120"/>
        <item h="1" x="193"/>
        <item h="1" x="119"/>
        <item h="1" x="154"/>
        <item h="1" x="113"/>
        <item h="1" x="197"/>
        <item h="1" x="182"/>
        <item h="1" x="48"/>
        <item h="1" x="103"/>
        <item h="1" x="122"/>
        <item h="1" x="185"/>
        <item h="1" x="139"/>
        <item h="1" x="151"/>
        <item h="1" x="126"/>
        <item h="1" x="12"/>
        <item h="1" x="82"/>
        <item h="1" x="23"/>
        <item h="1" x="173"/>
        <item h="1" x="104"/>
        <item h="1" x="118"/>
        <item h="1" x="20"/>
        <item h="1" x="7"/>
        <item h="1" x="25"/>
        <item h="1" x="162"/>
        <item h="1" x="136"/>
        <item h="1" x="133"/>
        <item h="1" x="194"/>
        <item h="1" x="144"/>
        <item h="1" x="196"/>
        <item h="1" x="4"/>
        <item h="1" x="99"/>
        <item h="1" x="159"/>
        <item h="1" x="143"/>
        <item h="1" x="89"/>
        <item h="1" x="22"/>
        <item h="1" x="158"/>
        <item h="1" x="61"/>
        <item h="1" x="29"/>
        <item h="1" x="195"/>
        <item h="1" x="176"/>
        <item h="1" x="50"/>
        <item h="1" x="74"/>
        <item h="1" x="142"/>
        <item h="1" x="169"/>
        <item h="1" x="170"/>
        <item h="1" x="111"/>
        <item h="1" x="86"/>
        <item h="1" x="56"/>
        <item h="1" x="17"/>
        <item h="1" x="146"/>
        <item h="1" x="129"/>
        <item h="1" x="33"/>
        <item h="1" x="130"/>
        <item h="1" x="161"/>
        <item h="1" x="155"/>
        <item h="1" x="115"/>
        <item h="1" x="175"/>
        <item h="1" x="49"/>
        <item x="63"/>
        <item h="1" x="39"/>
        <item h="1" x="189"/>
        <item h="1" x="198"/>
        <item h="1" x="94"/>
        <item h="1" x="54"/>
        <item h="1" x="77"/>
        <item h="1" x="67"/>
        <item h="1" x="90"/>
        <item h="1" x="47"/>
        <item h="1" x="70"/>
        <item h="1" x="116"/>
        <item h="1" x="40"/>
        <item h="1" x="32"/>
        <item h="1" x="30"/>
        <item h="1" x="51"/>
        <item h="1" x="102"/>
        <item h="1" x="28"/>
        <item h="1" x="3"/>
        <item h="1" x="163"/>
        <item h="1" x="71"/>
        <item h="1" x="35"/>
        <item h="1" x="152"/>
        <item h="1" x="95"/>
        <item h="1" x="141"/>
        <item h="1" x="31"/>
        <item h="1" x="127"/>
        <item h="1" x="135"/>
        <item h="1" x="6"/>
        <item h="1" x="188"/>
        <item h="1" x="27"/>
        <item h="1" x="145"/>
        <item h="1" x="66"/>
        <item h="1" x="26"/>
        <item h="1" x="123"/>
        <item h="1" x="166"/>
        <item h="1" x="121"/>
        <item h="1" x="93"/>
        <item h="1" x="150"/>
        <item h="1" x="37"/>
        <item h="1" x="140"/>
        <item h="1" x="97"/>
        <item h="1" x="24"/>
        <item h="1" x="14"/>
        <item h="1" x="60"/>
        <item h="1" x="2"/>
        <item h="1" x="148"/>
        <item h="1" x="68"/>
        <item h="1" x="107"/>
        <item h="1" x="183"/>
        <item h="1" x="128"/>
        <item h="1" x="153"/>
        <item h="1" x="53"/>
        <item h="1" x="73"/>
        <item h="1" x="131"/>
        <item h="1" x="105"/>
        <item h="1" x="180"/>
        <item h="1" x="52"/>
        <item h="1" x="10"/>
        <item h="1" x="167"/>
        <item h="1" x="38"/>
        <item h="1" x="15"/>
        <item h="1" x="109"/>
        <item h="1" x="181"/>
        <item h="1" x="101"/>
        <item h="1" x="138"/>
        <item h="1" x="186"/>
        <item h="1" x="83"/>
        <item h="1" x="96"/>
        <item h="1" x="80"/>
        <item h="1" x="108"/>
        <item h="1" x="44"/>
        <item h="1" x="88"/>
        <item h="1" x="134"/>
        <item h="1" x="171"/>
        <item h="1" x="55"/>
        <item h="1" x="76"/>
        <item h="1" x="199"/>
        <item h="1" x="1"/>
        <item h="1" x="147"/>
        <item h="1" x="42"/>
        <item h="1" x="106"/>
        <item h="1" x="79"/>
        <item h="1" x="187"/>
        <item h="1" x="8"/>
        <item h="1" x="21"/>
        <item h="1" x="114"/>
        <item h="1" x="19"/>
        <item h="1" x="57"/>
        <item h="1" x="18"/>
        <item h="1" x="137"/>
        <item h="1" x="100"/>
        <item h="1" x="43"/>
        <item h="1" x="85"/>
        <item h="1" x="16"/>
        <item h="1" x="69"/>
        <item h="1" x="0"/>
        <item h="1" x="41"/>
        <item h="1" x="59"/>
        <item h="1" x="165"/>
        <item h="1" x="178"/>
        <item h="1" x="75"/>
        <item h="1" x="174"/>
        <item h="1" x="9"/>
        <item h="1" x="160"/>
        <item t="default"/>
      </items>
    </pivotField>
    <pivotField showAll="0"/>
    <pivotField axis="axisRow" showAll="0">
      <items count="3">
        <item x="1"/>
        <item h="1" x="0"/>
        <item t="default"/>
      </items>
    </pivotField>
    <pivotField multipleItemSelectionAllowed="1" showAll="0">
      <items count="3">
        <item x="0"/>
        <item h="1" x="1"/>
        <item t="default"/>
      </items>
    </pivotField>
    <pivotField showAll="0" defaultSubtotal="0"/>
    <pivotField showAll="0" defaultSubtotal="0"/>
  </pivotFields>
  <rowFields count="1">
    <field x="11"/>
  </rowFields>
  <rowItems count="2">
    <i>
      <x/>
    </i>
    <i t="grand">
      <x/>
    </i>
  </rowItems>
  <colItems count="1">
    <i/>
  </colItems>
  <dataFields count="1">
    <dataField name="Suma de Costo_Tratamiento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E53AB-DE9E-4689-B79D-545EC0A15908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>
  <location ref="B3:B4" firstHeaderRow="1" firstDataRow="1" firstDataCol="0" rowPageCount="1" colPageCount="1"/>
  <pivotFields count="15"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" showAll="0">
      <items count="21">
        <item x="19"/>
        <item x="18"/>
        <item x="12"/>
        <item x="6"/>
        <item x="11"/>
        <item x="16"/>
        <item x="8"/>
        <item x="17"/>
        <item x="0"/>
        <item x="13"/>
        <item x="14"/>
        <item x="7"/>
        <item x="4"/>
        <item x="9"/>
        <item x="10"/>
        <item x="3"/>
        <item x="1"/>
        <item x="15"/>
        <item x="5"/>
        <item x="2"/>
        <item t="default"/>
      </items>
    </pivotField>
    <pivotField showAll="0">
      <items count="6">
        <item h="1" x="0"/>
        <item h="1" x="4"/>
        <item h="1" x="3"/>
        <item x="2"/>
        <item h="1" x="1"/>
        <item t="default"/>
      </items>
    </pivotField>
    <pivotField showAll="0">
      <items count="6">
        <item h="1" x="0"/>
        <item h="1" x="3"/>
        <item h="1" x="2"/>
        <item x="4"/>
        <item h="1" x="1"/>
        <item t="default"/>
      </items>
    </pivotField>
    <pivotField showAll="0">
      <items count="4">
        <item h="1" x="1"/>
        <item h="1" x="2"/>
        <item x="0"/>
        <item t="default"/>
      </items>
    </pivotField>
    <pivotField axis="axisPage" multipleItemSelectionAllowed="1" showAll="0">
      <items count="5">
        <item h="1" x="0"/>
        <item h="1" x="2"/>
        <item h="1" x="3"/>
        <item x="1"/>
        <item t="default"/>
      </items>
    </pivotField>
    <pivotField dataField="1" numFmtId="164" showAll="0">
      <items count="201">
        <item x="172"/>
        <item h="1" x="92"/>
        <item h="1" x="34"/>
        <item h="1" x="132"/>
        <item h="1" x="179"/>
        <item h="1" x="157"/>
        <item h="1" x="124"/>
        <item h="1" x="191"/>
        <item h="1" x="149"/>
        <item h="1" x="58"/>
        <item h="1" x="87"/>
        <item h="1" x="164"/>
        <item h="1" x="72"/>
        <item h="1" x="11"/>
        <item h="1" x="184"/>
        <item h="1" x="45"/>
        <item h="1" x="13"/>
        <item h="1" x="91"/>
        <item h="1" x="192"/>
        <item h="1" x="177"/>
        <item h="1" x="78"/>
        <item h="1" x="125"/>
        <item h="1" x="46"/>
        <item h="1" x="110"/>
        <item h="1" x="112"/>
        <item h="1" x="5"/>
        <item h="1" x="190"/>
        <item h="1" x="65"/>
        <item h="1" x="36"/>
        <item h="1" x="168"/>
        <item h="1" x="98"/>
        <item h="1" x="117"/>
        <item h="1" x="81"/>
        <item h="1" x="84"/>
        <item h="1" x="156"/>
        <item h="1" x="64"/>
        <item h="1" x="62"/>
        <item h="1" x="120"/>
        <item h="1" x="193"/>
        <item h="1" x="119"/>
        <item h="1" x="154"/>
        <item h="1" x="113"/>
        <item h="1" x="197"/>
        <item h="1" x="182"/>
        <item h="1" x="48"/>
        <item h="1" x="103"/>
        <item h="1" x="122"/>
        <item h="1" x="185"/>
        <item h="1" x="139"/>
        <item h="1" x="151"/>
        <item h="1" x="126"/>
        <item h="1" x="12"/>
        <item h="1" x="82"/>
        <item h="1" x="23"/>
        <item h="1" x="173"/>
        <item h="1" x="104"/>
        <item h="1" x="118"/>
        <item h="1" x="20"/>
        <item h="1" x="7"/>
        <item h="1" x="25"/>
        <item h="1" x="162"/>
        <item h="1" x="136"/>
        <item h="1" x="133"/>
        <item h="1" x="194"/>
        <item h="1" x="144"/>
        <item h="1" x="196"/>
        <item h="1" x="4"/>
        <item h="1" x="99"/>
        <item h="1" x="159"/>
        <item h="1" x="143"/>
        <item h="1" x="89"/>
        <item h="1" x="22"/>
        <item h="1" x="158"/>
        <item h="1" x="61"/>
        <item h="1" x="29"/>
        <item h="1" x="195"/>
        <item h="1" x="176"/>
        <item h="1" x="50"/>
        <item h="1" x="74"/>
        <item h="1" x="142"/>
        <item h="1" x="169"/>
        <item h="1" x="170"/>
        <item h="1" x="111"/>
        <item h="1" x="86"/>
        <item h="1" x="56"/>
        <item h="1" x="17"/>
        <item h="1" x="146"/>
        <item h="1" x="129"/>
        <item h="1" x="33"/>
        <item h="1" x="130"/>
        <item h="1" x="161"/>
        <item h="1" x="155"/>
        <item h="1" x="115"/>
        <item h="1" x="175"/>
        <item h="1" x="49"/>
        <item h="1" x="63"/>
        <item h="1" x="39"/>
        <item h="1" x="189"/>
        <item h="1" x="198"/>
        <item h="1" x="94"/>
        <item h="1" x="54"/>
        <item h="1" x="77"/>
        <item h="1" x="67"/>
        <item h="1" x="90"/>
        <item h="1" x="47"/>
        <item h="1" x="70"/>
        <item h="1" x="116"/>
        <item h="1" x="40"/>
        <item h="1" x="32"/>
        <item h="1" x="30"/>
        <item h="1" x="51"/>
        <item h="1" x="102"/>
        <item h="1" x="28"/>
        <item h="1" x="3"/>
        <item h="1" x="163"/>
        <item h="1" x="71"/>
        <item h="1" x="35"/>
        <item h="1" x="152"/>
        <item h="1" x="95"/>
        <item h="1" x="141"/>
        <item h="1" x="31"/>
        <item h="1" x="127"/>
        <item h="1" x="135"/>
        <item h="1" x="6"/>
        <item h="1" x="188"/>
        <item h="1" x="27"/>
        <item h="1" x="145"/>
        <item h="1" x="66"/>
        <item h="1" x="26"/>
        <item h="1" x="123"/>
        <item h="1" x="166"/>
        <item h="1" x="121"/>
        <item h="1" x="93"/>
        <item h="1" x="150"/>
        <item h="1" x="37"/>
        <item h="1" x="140"/>
        <item h="1" x="97"/>
        <item h="1" x="24"/>
        <item h="1" x="14"/>
        <item h="1" x="60"/>
        <item h="1" x="2"/>
        <item h="1" x="148"/>
        <item h="1" x="68"/>
        <item h="1" x="107"/>
        <item h="1" x="183"/>
        <item h="1" x="128"/>
        <item h="1" x="153"/>
        <item h="1" x="53"/>
        <item h="1" x="73"/>
        <item h="1" x="131"/>
        <item h="1" x="105"/>
        <item h="1" x="180"/>
        <item h="1" x="52"/>
        <item h="1" x="10"/>
        <item h="1" x="167"/>
        <item h="1" x="38"/>
        <item h="1" x="15"/>
        <item h="1" x="109"/>
        <item h="1" x="181"/>
        <item h="1" x="101"/>
        <item h="1" x="138"/>
        <item h="1" x="186"/>
        <item h="1" x="83"/>
        <item h="1" x="96"/>
        <item h="1" x="80"/>
        <item h="1" x="108"/>
        <item h="1" x="44"/>
        <item h="1" x="88"/>
        <item h="1" x="134"/>
        <item h="1" x="171"/>
        <item h="1" x="55"/>
        <item h="1" x="76"/>
        <item h="1" x="199"/>
        <item h="1" x="1"/>
        <item h="1" x="147"/>
        <item h="1" x="42"/>
        <item h="1" x="106"/>
        <item h="1" x="79"/>
        <item h="1" x="187"/>
        <item h="1" x="8"/>
        <item h="1" x="21"/>
        <item h="1" x="114"/>
        <item h="1" x="19"/>
        <item h="1" x="57"/>
        <item h="1" x="18"/>
        <item h="1" x="137"/>
        <item h="1" x="100"/>
        <item h="1" x="43"/>
        <item h="1" x="85"/>
        <item h="1" x="16"/>
        <item h="1" x="69"/>
        <item h="1" x="0"/>
        <item h="1" x="41"/>
        <item h="1" x="59"/>
        <item h="1" x="165"/>
        <item h="1" x="178"/>
        <item h="1" x="75"/>
        <item h="1" x="174"/>
        <item h="1" x="9"/>
        <item h="1" x="160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h="1" x="0"/>
        <item t="default"/>
      </items>
    </pivotField>
    <pivotField showAll="0">
      <items count="3">
        <item x="0"/>
        <item h="1"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pageFields count="1">
    <pageField fld="8" hier="-1"/>
  </pageFields>
  <dataFields count="1">
    <dataField name="Suma de Costo_Tratamiento" fld="9" baseField="0" baseItem="0"/>
  </dataFields>
  <chartFormats count="1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810AC-89DF-4542-AC14-CE3D9F8133B6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K29:L32" firstHeaderRow="1" firstDataRow="1" firstDataCol="1"/>
  <pivotFields count="18">
    <pivotField showAll="0"/>
    <pivotField numFmtId="14" showAll="0">
      <items count="179">
        <item x="8"/>
        <item x="5"/>
        <item x="128"/>
        <item x="44"/>
        <item x="157"/>
        <item x="37"/>
        <item x="110"/>
        <item x="143"/>
        <item x="89"/>
        <item x="84"/>
        <item x="90"/>
        <item x="131"/>
        <item x="130"/>
        <item x="99"/>
        <item x="155"/>
        <item x="142"/>
        <item x="159"/>
        <item x="109"/>
        <item x="1"/>
        <item x="98"/>
        <item x="22"/>
        <item x="82"/>
        <item x="59"/>
        <item x="134"/>
        <item x="156"/>
        <item x="6"/>
        <item x="129"/>
        <item x="164"/>
        <item x="93"/>
        <item x="62"/>
        <item x="115"/>
        <item x="9"/>
        <item x="2"/>
        <item x="141"/>
        <item x="54"/>
        <item x="114"/>
        <item x="39"/>
        <item x="34"/>
        <item x="96"/>
        <item x="13"/>
        <item x="15"/>
        <item x="25"/>
        <item x="125"/>
        <item x="116"/>
        <item x="24"/>
        <item x="107"/>
        <item x="120"/>
        <item x="36"/>
        <item x="163"/>
        <item x="87"/>
        <item x="69"/>
        <item x="50"/>
        <item x="53"/>
        <item x="160"/>
        <item x="106"/>
        <item x="16"/>
        <item x="80"/>
        <item x="174"/>
        <item x="126"/>
        <item x="68"/>
        <item x="92"/>
        <item x="23"/>
        <item x="43"/>
        <item x="172"/>
        <item x="81"/>
        <item x="51"/>
        <item x="152"/>
        <item x="147"/>
        <item x="27"/>
        <item x="136"/>
        <item x="113"/>
        <item x="171"/>
        <item x="124"/>
        <item x="46"/>
        <item x="135"/>
        <item x="108"/>
        <item x="149"/>
        <item x="85"/>
        <item x="133"/>
        <item x="33"/>
        <item x="75"/>
        <item x="31"/>
        <item x="74"/>
        <item x="105"/>
        <item x="63"/>
        <item x="94"/>
        <item x="100"/>
        <item x="101"/>
        <item x="86"/>
        <item x="150"/>
        <item x="10"/>
        <item x="117"/>
        <item x="122"/>
        <item x="55"/>
        <item x="21"/>
        <item x="58"/>
        <item x="146"/>
        <item x="32"/>
        <item x="83"/>
        <item x="144"/>
        <item x="88"/>
        <item x="4"/>
        <item x="123"/>
        <item x="60"/>
        <item x="97"/>
        <item x="138"/>
        <item x="165"/>
        <item x="29"/>
        <item x="137"/>
        <item x="102"/>
        <item x="0"/>
        <item x="148"/>
        <item x="38"/>
        <item x="18"/>
        <item x="12"/>
        <item x="20"/>
        <item x="140"/>
        <item x="119"/>
        <item x="7"/>
        <item x="158"/>
        <item x="11"/>
        <item x="57"/>
        <item x="66"/>
        <item x="77"/>
        <item x="67"/>
        <item x="14"/>
        <item x="118"/>
        <item x="35"/>
        <item x="103"/>
        <item x="166"/>
        <item x="121"/>
        <item x="65"/>
        <item x="17"/>
        <item x="168"/>
        <item x="177"/>
        <item x="127"/>
        <item x="95"/>
        <item x="173"/>
        <item x="30"/>
        <item x="78"/>
        <item x="76"/>
        <item x="167"/>
        <item x="169"/>
        <item x="70"/>
        <item x="71"/>
        <item x="162"/>
        <item x="91"/>
        <item x="112"/>
        <item x="161"/>
        <item x="19"/>
        <item x="52"/>
        <item x="49"/>
        <item x="132"/>
        <item x="139"/>
        <item x="176"/>
        <item x="72"/>
        <item x="64"/>
        <item x="79"/>
        <item x="28"/>
        <item x="3"/>
        <item x="154"/>
        <item x="73"/>
        <item x="42"/>
        <item x="45"/>
        <item x="175"/>
        <item x="56"/>
        <item x="145"/>
        <item x="40"/>
        <item x="151"/>
        <item x="41"/>
        <item x="153"/>
        <item x="111"/>
        <item x="48"/>
        <item x="47"/>
        <item x="26"/>
        <item x="104"/>
        <item x="61"/>
        <item x="170"/>
        <item t="default"/>
      </items>
    </pivotField>
    <pivotField numFmtId="14" showAll="0">
      <items count="180">
        <item x="8"/>
        <item x="5"/>
        <item x="159"/>
        <item x="43"/>
        <item x="153"/>
        <item x="124"/>
        <item x="37"/>
        <item x="79"/>
        <item x="84"/>
        <item x="85"/>
        <item x="134"/>
        <item x="94"/>
        <item x="126"/>
        <item x="151"/>
        <item x="156"/>
        <item x="139"/>
        <item x="105"/>
        <item x="93"/>
        <item x="1"/>
        <item x="22"/>
        <item x="154"/>
        <item x="77"/>
        <item x="162"/>
        <item x="56"/>
        <item x="125"/>
        <item x="152"/>
        <item x="6"/>
        <item x="88"/>
        <item x="59"/>
        <item x="111"/>
        <item x="9"/>
        <item x="2"/>
        <item x="39"/>
        <item x="52"/>
        <item x="110"/>
        <item x="168"/>
        <item x="34"/>
        <item x="150"/>
        <item x="13"/>
        <item x="91"/>
        <item x="121"/>
        <item x="15"/>
        <item x="112"/>
        <item x="25"/>
        <item x="24"/>
        <item x="116"/>
        <item x="103"/>
        <item x="167"/>
        <item x="161"/>
        <item x="48"/>
        <item x="36"/>
        <item x="82"/>
        <item x="65"/>
        <item x="51"/>
        <item x="101"/>
        <item x="157"/>
        <item x="76"/>
        <item x="16"/>
        <item x="173"/>
        <item x="122"/>
        <item x="87"/>
        <item x="64"/>
        <item x="135"/>
        <item x="42"/>
        <item x="171"/>
        <item x="49"/>
        <item x="23"/>
        <item x="144"/>
        <item x="148"/>
        <item x="27"/>
        <item x="109"/>
        <item x="176"/>
        <item x="120"/>
        <item x="45"/>
        <item x="132"/>
        <item x="104"/>
        <item x="146"/>
        <item x="80"/>
        <item x="131"/>
        <item x="129"/>
        <item x="130"/>
        <item x="33"/>
        <item x="31"/>
        <item x="136"/>
        <item x="60"/>
        <item x="89"/>
        <item x="70"/>
        <item x="100"/>
        <item x="95"/>
        <item x="113"/>
        <item x="81"/>
        <item x="96"/>
        <item x="10"/>
        <item x="53"/>
        <item x="55"/>
        <item x="21"/>
        <item x="118"/>
        <item x="143"/>
        <item x="78"/>
        <item x="32"/>
        <item x="141"/>
        <item x="83"/>
        <item x="4"/>
        <item x="119"/>
        <item x="133"/>
        <item x="57"/>
        <item x="29"/>
        <item x="92"/>
        <item x="145"/>
        <item x="163"/>
        <item x="0"/>
        <item x="97"/>
        <item x="38"/>
        <item x="72"/>
        <item x="138"/>
        <item x="140"/>
        <item x="20"/>
        <item x="12"/>
        <item x="18"/>
        <item x="115"/>
        <item x="7"/>
        <item x="155"/>
        <item x="108"/>
        <item x="54"/>
        <item x="73"/>
        <item x="11"/>
        <item x="63"/>
        <item x="14"/>
        <item x="128"/>
        <item x="98"/>
        <item x="114"/>
        <item x="165"/>
        <item x="35"/>
        <item x="62"/>
        <item x="177"/>
        <item x="117"/>
        <item x="178"/>
        <item x="17"/>
        <item x="172"/>
        <item x="123"/>
        <item x="90"/>
        <item x="74"/>
        <item x="102"/>
        <item x="30"/>
        <item x="166"/>
        <item x="67"/>
        <item x="71"/>
        <item x="160"/>
        <item x="169"/>
        <item x="66"/>
        <item x="86"/>
        <item x="107"/>
        <item x="158"/>
        <item x="50"/>
        <item x="137"/>
        <item x="175"/>
        <item x="127"/>
        <item x="19"/>
        <item x="68"/>
        <item x="47"/>
        <item x="61"/>
        <item x="75"/>
        <item x="164"/>
        <item x="28"/>
        <item x="149"/>
        <item x="3"/>
        <item x="69"/>
        <item x="44"/>
        <item x="142"/>
        <item x="174"/>
        <item x="40"/>
        <item x="147"/>
        <item x="41"/>
        <item x="106"/>
        <item x="46"/>
        <item x="99"/>
        <item x="26"/>
        <item x="58"/>
        <item x="170"/>
        <item t="default"/>
      </items>
    </pivotField>
    <pivotField numFmtId="1" showAll="0"/>
    <pivotField showAll="0">
      <items count="6">
        <item h="1" x="0"/>
        <item x="4"/>
        <item h="1" x="3"/>
        <item h="1" x="2"/>
        <item h="1" x="1"/>
        <item t="default"/>
      </items>
    </pivotField>
    <pivotField showAll="0">
      <items count="6">
        <item h="1" x="0"/>
        <item x="3"/>
        <item h="1" x="2"/>
        <item h="1" x="4"/>
        <item h="1"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h="1" x="0"/>
        <item h="1" x="2"/>
        <item x="3"/>
        <item h="1" x="1"/>
        <item t="default"/>
      </items>
    </pivotField>
    <pivotField numFmtId="164" showAll="0">
      <items count="201">
        <item h="1" x="172"/>
        <item h="1" x="92"/>
        <item h="1" x="34"/>
        <item h="1" x="132"/>
        <item h="1" x="179"/>
        <item h="1" x="157"/>
        <item h="1" x="124"/>
        <item h="1" x="191"/>
        <item h="1" x="149"/>
        <item h="1" x="58"/>
        <item h="1" x="87"/>
        <item h="1" x="164"/>
        <item x="72"/>
        <item h="1" x="11"/>
        <item h="1" x="184"/>
        <item h="1" x="45"/>
        <item h="1" x="13"/>
        <item h="1" x="91"/>
        <item h="1" x="192"/>
        <item h="1" x="177"/>
        <item h="1" x="78"/>
        <item h="1" x="125"/>
        <item h="1" x="46"/>
        <item h="1" x="110"/>
        <item h="1" x="112"/>
        <item h="1" x="5"/>
        <item h="1" x="190"/>
        <item h="1" x="65"/>
        <item h="1" x="36"/>
        <item h="1" x="168"/>
        <item h="1" x="98"/>
        <item h="1" x="117"/>
        <item h="1" x="81"/>
        <item h="1" x="84"/>
        <item h="1" x="156"/>
        <item h="1" x="64"/>
        <item h="1" x="62"/>
        <item h="1" x="120"/>
        <item h="1" x="193"/>
        <item h="1" x="119"/>
        <item h="1" x="154"/>
        <item h="1" x="113"/>
        <item h="1" x="197"/>
        <item h="1" x="182"/>
        <item h="1" x="48"/>
        <item h="1" x="103"/>
        <item h="1" x="122"/>
        <item h="1" x="185"/>
        <item h="1" x="139"/>
        <item h="1" x="151"/>
        <item h="1" x="126"/>
        <item h="1" x="12"/>
        <item h="1" x="82"/>
        <item h="1" x="23"/>
        <item h="1" x="173"/>
        <item h="1" x="104"/>
        <item h="1" x="118"/>
        <item h="1" x="20"/>
        <item h="1" x="7"/>
        <item h="1" x="25"/>
        <item h="1" x="162"/>
        <item h="1" x="136"/>
        <item h="1" x="133"/>
        <item h="1" x="194"/>
        <item h="1" x="144"/>
        <item h="1" x="196"/>
        <item h="1" x="4"/>
        <item h="1" x="99"/>
        <item h="1" x="159"/>
        <item h="1" x="143"/>
        <item h="1" x="89"/>
        <item h="1" x="22"/>
        <item h="1" x="158"/>
        <item h="1" x="61"/>
        <item h="1" x="29"/>
        <item h="1" x="195"/>
        <item h="1" x="176"/>
        <item h="1" x="50"/>
        <item h="1" x="74"/>
        <item h="1" x="142"/>
        <item h="1" x="169"/>
        <item h="1" x="170"/>
        <item h="1" x="111"/>
        <item h="1" x="86"/>
        <item h="1" x="56"/>
        <item h="1" x="17"/>
        <item h="1" x="146"/>
        <item h="1" x="129"/>
        <item h="1" x="33"/>
        <item h="1" x="130"/>
        <item h="1" x="161"/>
        <item h="1" x="155"/>
        <item h="1" x="115"/>
        <item h="1" x="175"/>
        <item h="1" x="49"/>
        <item h="1" x="63"/>
        <item h="1" x="39"/>
        <item h="1" x="189"/>
        <item h="1" x="198"/>
        <item h="1" x="94"/>
        <item h="1" x="54"/>
        <item h="1" x="77"/>
        <item h="1" x="67"/>
        <item h="1" x="90"/>
        <item h="1" x="47"/>
        <item h="1" x="70"/>
        <item h="1" x="116"/>
        <item h="1" x="40"/>
        <item h="1" x="32"/>
        <item h="1" x="30"/>
        <item h="1" x="51"/>
        <item h="1" x="102"/>
        <item h="1" x="28"/>
        <item h="1" x="3"/>
        <item h="1" x="163"/>
        <item h="1" x="71"/>
        <item h="1" x="35"/>
        <item h="1" x="152"/>
        <item h="1" x="95"/>
        <item h="1" x="141"/>
        <item h="1" x="31"/>
        <item h="1" x="127"/>
        <item h="1" x="135"/>
        <item h="1" x="6"/>
        <item h="1" x="188"/>
        <item h="1" x="27"/>
        <item h="1" x="145"/>
        <item h="1" x="66"/>
        <item h="1" x="26"/>
        <item h="1" x="123"/>
        <item h="1" x="166"/>
        <item h="1" x="121"/>
        <item h="1" x="93"/>
        <item h="1" x="150"/>
        <item h="1" x="37"/>
        <item h="1" x="140"/>
        <item h="1" x="97"/>
        <item h="1" x="24"/>
        <item h="1" x="14"/>
        <item h="1" x="60"/>
        <item h="1" x="2"/>
        <item h="1" x="148"/>
        <item h="1" x="68"/>
        <item h="1" x="107"/>
        <item h="1" x="183"/>
        <item h="1" x="128"/>
        <item h="1" x="153"/>
        <item h="1" x="53"/>
        <item h="1" x="73"/>
        <item h="1" x="131"/>
        <item h="1" x="105"/>
        <item h="1" x="180"/>
        <item h="1" x="52"/>
        <item h="1" x="10"/>
        <item h="1" x="167"/>
        <item h="1" x="38"/>
        <item h="1" x="15"/>
        <item h="1" x="109"/>
        <item h="1" x="181"/>
        <item h="1" x="101"/>
        <item h="1" x="138"/>
        <item h="1" x="186"/>
        <item h="1" x="83"/>
        <item h="1" x="96"/>
        <item h="1" x="80"/>
        <item h="1" x="108"/>
        <item h="1" x="44"/>
        <item h="1" x="88"/>
        <item h="1" x="134"/>
        <item h="1" x="171"/>
        <item h="1" x="55"/>
        <item h="1" x="76"/>
        <item h="1" x="199"/>
        <item h="1" x="1"/>
        <item h="1" x="147"/>
        <item h="1" x="42"/>
        <item h="1" x="106"/>
        <item h="1" x="79"/>
        <item h="1" x="187"/>
        <item h="1" x="8"/>
        <item h="1" x="21"/>
        <item h="1" x="114"/>
        <item h="1" x="19"/>
        <item h="1" x="57"/>
        <item h="1" x="18"/>
        <item h="1" x="137"/>
        <item h="1" x="100"/>
        <item h="1" x="43"/>
        <item h="1" x="85"/>
        <item h="1" x="16"/>
        <item h="1" x="69"/>
        <item h="1" x="0"/>
        <item h="1" x="41"/>
        <item h="1" x="59"/>
        <item h="1" x="165"/>
        <item h="1" x="178"/>
        <item h="1" x="75"/>
        <item h="1" x="174"/>
        <item h="1" x="9"/>
        <item h="1" x="160"/>
        <item t="default"/>
      </items>
    </pivotField>
    <pivotField dataField="1"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uenta de Forma_Pago" fld="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B3430-F82C-496A-9D6D-9B13FBAE21A1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L3:M9" firstHeaderRow="1" firstDataRow="1" firstDataCol="1"/>
  <pivotFields count="18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numFmtId="14" showAll="0"/>
    <pivotField showAll="0"/>
    <pivotField numFmtId="14" showAll="0">
      <items count="179">
        <item x="8"/>
        <item x="5"/>
        <item x="128"/>
        <item x="44"/>
        <item x="157"/>
        <item x="37"/>
        <item x="110"/>
        <item x="143"/>
        <item x="89"/>
        <item x="84"/>
        <item x="90"/>
        <item x="131"/>
        <item x="130"/>
        <item x="99"/>
        <item x="155"/>
        <item x="142"/>
        <item x="159"/>
        <item x="109"/>
        <item x="1"/>
        <item x="98"/>
        <item x="22"/>
        <item x="82"/>
        <item x="59"/>
        <item x="134"/>
        <item x="156"/>
        <item x="6"/>
        <item x="129"/>
        <item x="164"/>
        <item x="93"/>
        <item x="62"/>
        <item x="115"/>
        <item x="9"/>
        <item x="2"/>
        <item x="141"/>
        <item x="54"/>
        <item x="114"/>
        <item x="39"/>
        <item x="34"/>
        <item x="96"/>
        <item x="13"/>
        <item x="15"/>
        <item x="25"/>
        <item x="125"/>
        <item x="116"/>
        <item x="24"/>
        <item x="107"/>
        <item x="120"/>
        <item x="36"/>
        <item x="163"/>
        <item x="87"/>
        <item x="69"/>
        <item x="50"/>
        <item x="53"/>
        <item x="160"/>
        <item x="106"/>
        <item x="16"/>
        <item x="80"/>
        <item x="174"/>
        <item x="126"/>
        <item x="68"/>
        <item x="92"/>
        <item x="23"/>
        <item x="43"/>
        <item x="172"/>
        <item x="81"/>
        <item x="51"/>
        <item x="152"/>
        <item x="147"/>
        <item x="27"/>
        <item x="136"/>
        <item x="113"/>
        <item x="171"/>
        <item x="124"/>
        <item x="46"/>
        <item x="135"/>
        <item x="108"/>
        <item x="149"/>
        <item x="85"/>
        <item x="133"/>
        <item x="33"/>
        <item x="75"/>
        <item x="31"/>
        <item x="74"/>
        <item x="105"/>
        <item x="63"/>
        <item x="94"/>
        <item x="100"/>
        <item x="101"/>
        <item x="86"/>
        <item x="150"/>
        <item x="10"/>
        <item x="117"/>
        <item x="122"/>
        <item x="55"/>
        <item x="21"/>
        <item x="58"/>
        <item x="146"/>
        <item x="32"/>
        <item x="83"/>
        <item x="144"/>
        <item x="88"/>
        <item x="4"/>
        <item x="123"/>
        <item x="60"/>
        <item x="97"/>
        <item x="138"/>
        <item x="165"/>
        <item x="29"/>
        <item x="137"/>
        <item x="102"/>
        <item x="0"/>
        <item x="148"/>
        <item x="38"/>
        <item x="18"/>
        <item x="12"/>
        <item x="20"/>
        <item x="140"/>
        <item x="119"/>
        <item x="7"/>
        <item x="158"/>
        <item x="11"/>
        <item x="57"/>
        <item x="66"/>
        <item x="77"/>
        <item x="67"/>
        <item x="14"/>
        <item x="118"/>
        <item x="35"/>
        <item x="103"/>
        <item x="166"/>
        <item x="121"/>
        <item x="65"/>
        <item x="17"/>
        <item x="168"/>
        <item x="177"/>
        <item x="127"/>
        <item x="95"/>
        <item x="173"/>
        <item x="30"/>
        <item x="78"/>
        <item x="76"/>
        <item x="167"/>
        <item x="169"/>
        <item x="70"/>
        <item x="71"/>
        <item x="162"/>
        <item x="91"/>
        <item x="112"/>
        <item x="161"/>
        <item x="19"/>
        <item x="52"/>
        <item x="49"/>
        <item x="132"/>
        <item x="139"/>
        <item x="176"/>
        <item x="72"/>
        <item x="64"/>
        <item x="79"/>
        <item x="28"/>
        <item x="3"/>
        <item x="154"/>
        <item x="73"/>
        <item x="42"/>
        <item x="45"/>
        <item x="175"/>
        <item x="56"/>
        <item x="145"/>
        <item x="40"/>
        <item x="151"/>
        <item x="41"/>
        <item x="153"/>
        <item x="111"/>
        <item x="48"/>
        <item x="47"/>
        <item x="26"/>
        <item x="104"/>
        <item x="61"/>
        <item x="170"/>
        <item t="default"/>
      </items>
    </pivotField>
    <pivotField numFmtId="14" showAll="0"/>
    <pivotField numFmtId="1"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showAll="0">
      <items count="4">
        <item x="1"/>
        <item x="2"/>
        <item x="0"/>
        <item t="default"/>
      </items>
    </pivotField>
    <pivotField showAll="0"/>
    <pivotField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Área_Atención" fld="9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gnóstico_Principal" xr10:uid="{CE86B747-15A6-47A6-B965-2E80BECD86A3}" sourceName="Diagnóstico_Principal">
  <pivotTables>
    <pivotTable tabId="1" name="TablaDinámica2"/>
  </pivotTables>
  <data>
    <tabular pivotCacheId="1032369148">
      <items count="5">
        <i x="0" nd="1"/>
        <i x="4" nd="1"/>
        <i x="3" nd="1"/>
        <i x="2" s="1" nd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Tratamiento" xr10:uid="{FA973CB2-E6B2-438F-BAA7-7E2FF781C80B}" sourceName="Tipo_Tratamiento">
  <pivotTables>
    <pivotTable tabId="1" name="TablaDinámica2"/>
  </pivotTables>
  <data>
    <tabular pivotCacheId="1032369148">
      <items count="5">
        <i x="0" nd="1"/>
        <i x="3" nd="1"/>
        <i x="2" nd="1"/>
        <i x="4" s="1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_Atención" xr10:uid="{D278A23A-4BC9-4DD3-87B5-DAD47B93551A}" sourceName="Área_Atención">
  <pivotTables>
    <pivotTable tabId="1" name="TablaDinámica2"/>
  </pivotTables>
  <data>
    <tabular pivotCacheId="1032369148">
      <items count="3">
        <i x="1" nd="1"/>
        <i x="2" nd="1"/>
        <i x="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édico_Responsable" xr10:uid="{FD34C48C-2ECE-4670-9C28-31656BC4DE62}" sourceName="Médico_Responsable">
  <pivotTables>
    <pivotTable tabId="1" name="TablaDinámica2"/>
  </pivotTables>
  <data>
    <tabular pivotCacheId="1032369148">
      <items count="4">
        <i x="0" nd="1"/>
        <i x="2" nd="1"/>
        <i x="3" nd="1"/>
        <i x="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sto_Tratamiento" xr10:uid="{B3A209F6-2FC0-4836-9E5F-4BA2D6438051}" sourceName="Costo_Tratamiento">
  <pivotTables>
    <pivotTable tabId="1" name="TablaDinámica2"/>
  </pivotTables>
  <data>
    <tabular pivotCacheId="1032369148">
      <items count="200">
        <i x="172" s="1" nd="1"/>
        <i x="92" nd="1"/>
        <i x="34" nd="1"/>
        <i x="132" nd="1"/>
        <i x="179" nd="1"/>
        <i x="157" nd="1"/>
        <i x="124" nd="1"/>
        <i x="191" nd="1"/>
        <i x="149" nd="1"/>
        <i x="58" nd="1"/>
        <i x="87" nd="1"/>
        <i x="164" nd="1"/>
        <i x="72" nd="1"/>
        <i x="11" nd="1"/>
        <i x="184" nd="1"/>
        <i x="45" nd="1"/>
        <i x="13" nd="1"/>
        <i x="91" nd="1"/>
        <i x="192" nd="1"/>
        <i x="177" nd="1"/>
        <i x="78" nd="1"/>
        <i x="125" nd="1"/>
        <i x="46" nd="1"/>
        <i x="110" nd="1"/>
        <i x="112" nd="1"/>
        <i x="5" nd="1"/>
        <i x="190" nd="1"/>
        <i x="65" nd="1"/>
        <i x="36" nd="1"/>
        <i x="168" nd="1"/>
        <i x="98" nd="1"/>
        <i x="117" nd="1"/>
        <i x="81" nd="1"/>
        <i x="84" nd="1"/>
        <i x="156" nd="1"/>
        <i x="64" nd="1"/>
        <i x="62" nd="1"/>
        <i x="120" nd="1"/>
        <i x="193" nd="1"/>
        <i x="119" nd="1"/>
        <i x="154" nd="1"/>
        <i x="113" nd="1"/>
        <i x="197" nd="1"/>
        <i x="182" nd="1"/>
        <i x="48" nd="1"/>
        <i x="103" nd="1"/>
        <i x="122" nd="1"/>
        <i x="185" nd="1"/>
        <i x="139" nd="1"/>
        <i x="151" nd="1"/>
        <i x="126" nd="1"/>
        <i x="12" nd="1"/>
        <i x="82" nd="1"/>
        <i x="23" nd="1"/>
        <i x="173" nd="1"/>
        <i x="104" nd="1"/>
        <i x="118" nd="1"/>
        <i x="20" nd="1"/>
        <i x="7" nd="1"/>
        <i x="25" nd="1"/>
        <i x="162" nd="1"/>
        <i x="136" nd="1"/>
        <i x="133" nd="1"/>
        <i x="194" nd="1"/>
        <i x="144" nd="1"/>
        <i x="196" nd="1"/>
        <i x="4" nd="1"/>
        <i x="99" nd="1"/>
        <i x="159" nd="1"/>
        <i x="143" nd="1"/>
        <i x="89" nd="1"/>
        <i x="22" nd="1"/>
        <i x="158" nd="1"/>
        <i x="61" nd="1"/>
        <i x="29" nd="1"/>
        <i x="195" nd="1"/>
        <i x="176" nd="1"/>
        <i x="50" nd="1"/>
        <i x="74" nd="1"/>
        <i x="142" nd="1"/>
        <i x="169" nd="1"/>
        <i x="170" nd="1"/>
        <i x="111" nd="1"/>
        <i x="86" nd="1"/>
        <i x="56" nd="1"/>
        <i x="17" nd="1"/>
        <i x="146" nd="1"/>
        <i x="129" nd="1"/>
        <i x="33" nd="1"/>
        <i x="130" nd="1"/>
        <i x="161" nd="1"/>
        <i x="155" nd="1"/>
        <i x="115" nd="1"/>
        <i x="175" nd="1"/>
        <i x="49" nd="1"/>
        <i x="63" nd="1"/>
        <i x="39" nd="1"/>
        <i x="189" nd="1"/>
        <i x="198" nd="1"/>
        <i x="94" nd="1"/>
        <i x="54" nd="1"/>
        <i x="77" nd="1"/>
        <i x="67" nd="1"/>
        <i x="90" nd="1"/>
        <i x="47" nd="1"/>
        <i x="70" nd="1"/>
        <i x="116" nd="1"/>
        <i x="40" nd="1"/>
        <i x="32" nd="1"/>
        <i x="30" nd="1"/>
        <i x="51" nd="1"/>
        <i x="102" nd="1"/>
        <i x="28" nd="1"/>
        <i x="3" nd="1"/>
        <i x="163" nd="1"/>
        <i x="71" nd="1"/>
        <i x="35" nd="1"/>
        <i x="152" nd="1"/>
        <i x="95" nd="1"/>
        <i x="141" nd="1"/>
        <i x="31" nd="1"/>
        <i x="127" nd="1"/>
        <i x="135" nd="1"/>
        <i x="6" nd="1"/>
        <i x="188" nd="1"/>
        <i x="27" nd="1"/>
        <i x="145" nd="1"/>
        <i x="66" nd="1"/>
        <i x="26" nd="1"/>
        <i x="123" nd="1"/>
        <i x="166" nd="1"/>
        <i x="121" nd="1"/>
        <i x="93" nd="1"/>
        <i x="150" nd="1"/>
        <i x="37" nd="1"/>
        <i x="140" nd="1"/>
        <i x="97" nd="1"/>
        <i x="24" nd="1"/>
        <i x="14" nd="1"/>
        <i x="60" nd="1"/>
        <i x="2" nd="1"/>
        <i x="148" nd="1"/>
        <i x="68" nd="1"/>
        <i x="107" nd="1"/>
        <i x="183" nd="1"/>
        <i x="128" nd="1"/>
        <i x="153" nd="1"/>
        <i x="53" nd="1"/>
        <i x="73" nd="1"/>
        <i x="131" nd="1"/>
        <i x="105" nd="1"/>
        <i x="180" nd="1"/>
        <i x="52" nd="1"/>
        <i x="10" nd="1"/>
        <i x="167" nd="1"/>
        <i x="38" nd="1"/>
        <i x="15" nd="1"/>
        <i x="109" nd="1"/>
        <i x="181" nd="1"/>
        <i x="101" nd="1"/>
        <i x="138" nd="1"/>
        <i x="186" nd="1"/>
        <i x="83" nd="1"/>
        <i x="96" nd="1"/>
        <i x="80" nd="1"/>
        <i x="108" nd="1"/>
        <i x="44" nd="1"/>
        <i x="88" nd="1"/>
        <i x="134" nd="1"/>
        <i x="171" nd="1"/>
        <i x="55" nd="1"/>
        <i x="76" nd="1"/>
        <i x="199" nd="1"/>
        <i x="1" nd="1"/>
        <i x="147" nd="1"/>
        <i x="42" nd="1"/>
        <i x="106" nd="1"/>
        <i x="79" nd="1"/>
        <i x="187" nd="1"/>
        <i x="8" nd="1"/>
        <i x="21" nd="1"/>
        <i x="114" nd="1"/>
        <i x="19" nd="1"/>
        <i x="57" nd="1"/>
        <i x="18" nd="1"/>
        <i x="137" nd="1"/>
        <i x="100" nd="1"/>
        <i x="43" nd="1"/>
        <i x="85" nd="1"/>
        <i x="16" nd="1"/>
        <i x="69" nd="1"/>
        <i x="0" nd="1"/>
        <i x="41" nd="1"/>
        <i x="59" nd="1"/>
        <i x="165" nd="1"/>
        <i x="178" nd="1"/>
        <i x="75" nd="1"/>
        <i x="174" nd="1"/>
        <i x="9" nd="1"/>
        <i x="160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Pago" xr10:uid="{E7F020F3-BD02-4F77-8240-8F59340C7704}" sourceName="Forma_Pago">
  <pivotTables>
    <pivotTable tabId="1" name="TablaDinámica2"/>
  </pivotTables>
  <data>
    <tabular pivotCacheId="1032369148">
      <items count="3">
        <i x="1" nd="1"/>
        <i x="0" s="1" nd="1"/>
        <i x="2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uro_Médico" xr10:uid="{0042282B-D167-47DB-B43E-29A4847BF675}" sourceName="Seguro_Médico">
  <pivotTables>
    <pivotTable tabId="1" name="TablaDinámica2"/>
  </pivotTables>
  <data>
    <tabular pivotCacheId="1032369148">
      <items count="2">
        <i x="1" s="1" nd="1"/>
        <i x="0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Alta" xr10:uid="{58FBEA5E-7FA7-4ECF-85C4-DC06D764E2A5}" sourceName="Estado_Alta">
  <pivotTables>
    <pivotTable tabId="1" name="TablaDinámica2"/>
    <pivotTable tabId="1" name="TablaDinámica5"/>
  </pivotTables>
  <data>
    <tabular pivotCacheId="1032369148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gnóstico_Principal" xr10:uid="{CE1DF910-6B34-476F-B311-2E9210F77AA5}" cache="SegmentaciónDeDatos_Diagnóstico_Principal" caption="Diagnóstico_Principal" rowHeight="234950"/>
  <slicer name="Tipo_Tratamiento" xr10:uid="{B6278173-8F31-4469-8B1D-3F6A81975C04}" cache="SegmentaciónDeDatos_Tipo_Tratamiento" caption="Tipo_Tratamiento" rowHeight="234950"/>
  <slicer name="Área_Atención" xr10:uid="{64CDC66E-F8DD-4B72-BB3C-D358B76222AD}" cache="SegmentaciónDeDatos_Área_Atención" caption="Área_Atención" rowHeight="234950"/>
  <slicer name="Médico_Responsable" xr10:uid="{3E3F99F6-1D98-4DE8-B8AF-F4E4159FF791}" cache="SegmentaciónDeDatos_Médico_Responsable" caption="Médico_Responsable" rowHeight="234950"/>
  <slicer name="Costo_Tratamiento" xr10:uid="{A1252678-B9BB-45F3-9E29-A472A1B0B544}" cache="SegmentaciónDeDatos_Costo_Tratamiento" caption="Costo_Tratamiento" rowHeight="234950"/>
  <slicer name="Forma_Pago" xr10:uid="{CD389B2D-748A-45EA-A9AE-82FCA3B4607A}" cache="SegmentaciónDeDatos_Forma_Pago" caption="Forma_Pago" rowHeight="234950"/>
  <slicer name="Seguro_Médico" xr10:uid="{F1546FFC-DF26-4C31-B78F-8F0EDF0E6D35}" cache="SegmentaciónDeDatos_Seguro_Médico" caption="Seguro_Médico" rowHeight="234950"/>
  <slicer name="Estado_Alta" xr10:uid="{EA2BE3F6-C229-46F3-A2C1-874181596E5F}" cache="SegmentaciónDeDatos_Estado_Alta" caption="Estado_Alta" rowHeight="23495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2E2-C805-4911-838D-A0E1A8A12D65}">
  <dimension ref="A1:R201"/>
  <sheetViews>
    <sheetView topLeftCell="D184" workbookViewId="0">
      <selection activeCell="N12" sqref="N12"/>
    </sheetView>
  </sheetViews>
  <sheetFormatPr baseColWidth="10" defaultRowHeight="14.4" x14ac:dyDescent="0.3"/>
  <cols>
    <col min="1" max="1" width="13.33203125" bestFit="1" customWidth="1"/>
    <col min="2" max="2" width="9.33203125" customWidth="1"/>
    <col min="3" max="3" width="18.88671875" style="1" customWidth="1"/>
    <col min="4" max="4" width="7.44140625" customWidth="1"/>
    <col min="5" max="5" width="15.33203125" style="1" customWidth="1"/>
    <col min="6" max="6" width="14.109375" style="1" customWidth="1"/>
    <col min="7" max="7" width="14.5546875" customWidth="1"/>
    <col min="8" max="8" width="22.88671875" customWidth="1"/>
    <col min="9" max="9" width="18.33203125" customWidth="1"/>
    <col min="10" max="10" width="15.6640625" customWidth="1"/>
    <col min="11" max="11" width="21.33203125" customWidth="1"/>
    <col min="12" max="12" width="19.44140625" style="17" customWidth="1"/>
    <col min="13" max="13" width="13.6640625" bestFit="1" customWidth="1"/>
    <col min="14" max="14" width="16.44140625" bestFit="1" customWidth="1"/>
    <col min="15" max="15" width="16.5546875" bestFit="1" customWidth="1"/>
    <col min="16" max="16" width="6.33203125" customWidth="1"/>
    <col min="17" max="17" width="23.33203125" customWidth="1"/>
    <col min="18" max="18" width="15" customWidth="1"/>
  </cols>
  <sheetData>
    <row r="1" spans="1:18" x14ac:dyDescent="0.3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223</v>
      </c>
      <c r="H1" s="3" t="s">
        <v>224</v>
      </c>
      <c r="I1" s="3" t="s">
        <v>6</v>
      </c>
      <c r="J1" s="3" t="s">
        <v>225</v>
      </c>
      <c r="K1" s="3" t="s">
        <v>226</v>
      </c>
      <c r="L1" s="14" t="s">
        <v>7</v>
      </c>
      <c r="M1" s="3" t="s">
        <v>8</v>
      </c>
      <c r="N1" s="3" t="s">
        <v>227</v>
      </c>
      <c r="O1" s="5" t="s">
        <v>9</v>
      </c>
    </row>
    <row r="2" spans="1:18" x14ac:dyDescent="0.3">
      <c r="A2" s="6" t="s">
        <v>10</v>
      </c>
      <c r="B2" s="7" t="s">
        <v>11</v>
      </c>
      <c r="C2" s="8">
        <v>26608</v>
      </c>
      <c r="D2" s="7">
        <f ca="1">ROUND((TODAY()-C2)/365,0)</f>
        <v>54</v>
      </c>
      <c r="E2" s="8">
        <v>45818</v>
      </c>
      <c r="F2" s="8">
        <v>45827</v>
      </c>
      <c r="G2" s="18">
        <f>F2-E2</f>
        <v>9</v>
      </c>
      <c r="H2" s="7" t="s">
        <v>12</v>
      </c>
      <c r="I2" s="7" t="s">
        <v>228</v>
      </c>
      <c r="J2" s="7" t="s">
        <v>13</v>
      </c>
      <c r="K2" s="7" t="s">
        <v>229</v>
      </c>
      <c r="L2" s="15">
        <v>42428.08</v>
      </c>
      <c r="M2" s="7" t="s">
        <v>14</v>
      </c>
      <c r="N2" s="7" t="s">
        <v>230</v>
      </c>
      <c r="O2" s="9" t="s">
        <v>231</v>
      </c>
      <c r="Q2" s="11" t="s">
        <v>228</v>
      </c>
      <c r="R2" s="19">
        <f>SUMIF($I$2:$I$201,Q2,$L$2:$L$201)</f>
        <v>963298.1399999999</v>
      </c>
    </row>
    <row r="3" spans="1:18" x14ac:dyDescent="0.3">
      <c r="A3" s="10" t="s">
        <v>15</v>
      </c>
      <c r="B3" s="11" t="s">
        <v>11</v>
      </c>
      <c r="C3" s="12">
        <v>39444</v>
      </c>
      <c r="D3" s="7">
        <f t="shared" ref="D3:D66" ca="1" si="0">ROUND((TODAY()-C3)/365,0)</f>
        <v>19</v>
      </c>
      <c r="E3" s="12">
        <v>45360</v>
      </c>
      <c r="F3" s="12">
        <v>45377</v>
      </c>
      <c r="G3" s="18">
        <f t="shared" ref="G3:G66" si="1">F3-E3</f>
        <v>17</v>
      </c>
      <c r="H3" s="11" t="s">
        <v>232</v>
      </c>
      <c r="I3" s="11" t="s">
        <v>233</v>
      </c>
      <c r="J3" s="11" t="s">
        <v>16</v>
      </c>
      <c r="K3" s="11" t="s">
        <v>229</v>
      </c>
      <c r="L3" s="16">
        <v>37467.49</v>
      </c>
      <c r="M3" s="11" t="s">
        <v>17</v>
      </c>
      <c r="N3" s="11" t="s">
        <v>18</v>
      </c>
      <c r="O3" s="13" t="s">
        <v>231</v>
      </c>
      <c r="Q3" s="7" t="s">
        <v>238</v>
      </c>
      <c r="R3" s="19">
        <f t="shared" ref="R3:R5" si="2">SUMIF($I$2:$I$201,Q3,$L$2:$L$201)</f>
        <v>1104557.74</v>
      </c>
    </row>
    <row r="4" spans="1:18" x14ac:dyDescent="0.3">
      <c r="A4" s="6" t="s">
        <v>19</v>
      </c>
      <c r="B4" s="7" t="s">
        <v>11</v>
      </c>
      <c r="C4" s="8">
        <v>34572</v>
      </c>
      <c r="D4" s="7">
        <f t="shared" ca="1" si="0"/>
        <v>32</v>
      </c>
      <c r="E4" s="8">
        <v>45424</v>
      </c>
      <c r="F4" s="8">
        <v>45441</v>
      </c>
      <c r="G4" s="18">
        <f t="shared" si="1"/>
        <v>17</v>
      </c>
      <c r="H4" s="7" t="s">
        <v>234</v>
      </c>
      <c r="I4" s="7" t="s">
        <v>228</v>
      </c>
      <c r="J4" s="7" t="s">
        <v>13</v>
      </c>
      <c r="K4" s="7" t="s">
        <v>229</v>
      </c>
      <c r="L4" s="15">
        <v>30513.26</v>
      </c>
      <c r="M4" s="7" t="s">
        <v>20</v>
      </c>
      <c r="N4" s="7" t="s">
        <v>18</v>
      </c>
      <c r="O4" s="9" t="s">
        <v>21</v>
      </c>
      <c r="Q4" s="11" t="s">
        <v>233</v>
      </c>
      <c r="R4" s="19">
        <f t="shared" si="2"/>
        <v>751973.55999999994</v>
      </c>
    </row>
    <row r="5" spans="1:18" x14ac:dyDescent="0.3">
      <c r="A5" s="10" t="s">
        <v>22</v>
      </c>
      <c r="B5" s="11" t="s">
        <v>11</v>
      </c>
      <c r="C5" s="12">
        <v>31601</v>
      </c>
      <c r="D5" s="7">
        <f t="shared" ca="1" si="0"/>
        <v>40</v>
      </c>
      <c r="E5" s="12">
        <v>46028</v>
      </c>
      <c r="F5" s="12">
        <v>46048</v>
      </c>
      <c r="G5" s="18">
        <f t="shared" si="1"/>
        <v>20</v>
      </c>
      <c r="H5" s="11" t="s">
        <v>235</v>
      </c>
      <c r="I5" s="11" t="s">
        <v>228</v>
      </c>
      <c r="J5" s="11" t="s">
        <v>236</v>
      </c>
      <c r="K5" s="11" t="s">
        <v>237</v>
      </c>
      <c r="L5" s="16">
        <v>26607.56</v>
      </c>
      <c r="M5" s="11" t="s">
        <v>17</v>
      </c>
      <c r="N5" s="11" t="s">
        <v>18</v>
      </c>
      <c r="O5" s="13" t="s">
        <v>21</v>
      </c>
      <c r="Q5" s="7" t="s">
        <v>27</v>
      </c>
      <c r="R5" s="19">
        <f t="shared" si="2"/>
        <v>911135.74</v>
      </c>
    </row>
    <row r="6" spans="1:18" x14ac:dyDescent="0.3">
      <c r="A6" s="6" t="s">
        <v>23</v>
      </c>
      <c r="B6" s="7" t="s">
        <v>24</v>
      </c>
      <c r="C6" s="8">
        <v>21739</v>
      </c>
      <c r="D6" s="7">
        <f t="shared" ca="1" si="0"/>
        <v>67</v>
      </c>
      <c r="E6" s="8">
        <v>45789</v>
      </c>
      <c r="F6" s="8">
        <v>45805</v>
      </c>
      <c r="G6" s="18">
        <f t="shared" si="1"/>
        <v>16</v>
      </c>
      <c r="H6" s="7" t="s">
        <v>234</v>
      </c>
      <c r="I6" s="7" t="s">
        <v>238</v>
      </c>
      <c r="J6" s="7" t="s">
        <v>16</v>
      </c>
      <c r="K6" s="7" t="s">
        <v>239</v>
      </c>
      <c r="L6" s="15">
        <v>16662.95</v>
      </c>
      <c r="M6" s="7" t="s">
        <v>17</v>
      </c>
      <c r="N6" s="7" t="s">
        <v>18</v>
      </c>
      <c r="O6" s="9" t="s">
        <v>231</v>
      </c>
    </row>
    <row r="7" spans="1:18" x14ac:dyDescent="0.3">
      <c r="A7" s="10" t="s">
        <v>25</v>
      </c>
      <c r="B7" s="11" t="s">
        <v>24</v>
      </c>
      <c r="C7" s="12">
        <v>21739</v>
      </c>
      <c r="D7" s="7">
        <f t="shared" ca="1" si="0"/>
        <v>67</v>
      </c>
      <c r="E7" s="12">
        <v>45299</v>
      </c>
      <c r="F7" s="12">
        <v>45312</v>
      </c>
      <c r="G7" s="18">
        <f t="shared" si="1"/>
        <v>13</v>
      </c>
      <c r="H7" s="11" t="s">
        <v>234</v>
      </c>
      <c r="I7" s="11" t="s">
        <v>233</v>
      </c>
      <c r="J7" s="11" t="s">
        <v>13</v>
      </c>
      <c r="K7" s="11" t="s">
        <v>240</v>
      </c>
      <c r="L7" s="16">
        <v>8429</v>
      </c>
      <c r="M7" s="11" t="s">
        <v>14</v>
      </c>
      <c r="N7" s="11" t="s">
        <v>230</v>
      </c>
      <c r="O7" s="13" t="s">
        <v>21</v>
      </c>
      <c r="Q7" s="7" t="s">
        <v>229</v>
      </c>
    </row>
    <row r="8" spans="1:18" x14ac:dyDescent="0.3">
      <c r="A8" s="6" t="s">
        <v>26</v>
      </c>
      <c r="B8" s="7" t="s">
        <v>24</v>
      </c>
      <c r="C8" s="8">
        <v>19558</v>
      </c>
      <c r="D8" s="7">
        <f t="shared" ca="1" si="0"/>
        <v>73</v>
      </c>
      <c r="E8" s="8">
        <v>45375</v>
      </c>
      <c r="F8" s="8">
        <v>45394</v>
      </c>
      <c r="G8" s="18">
        <f t="shared" si="1"/>
        <v>19</v>
      </c>
      <c r="H8" s="7" t="s">
        <v>12</v>
      </c>
      <c r="I8" s="7" t="s">
        <v>27</v>
      </c>
      <c r="J8" s="7" t="s">
        <v>16</v>
      </c>
      <c r="K8" s="7" t="s">
        <v>240</v>
      </c>
      <c r="L8" s="15">
        <v>27815.5</v>
      </c>
      <c r="M8" s="7" t="s">
        <v>17</v>
      </c>
      <c r="N8" s="7" t="s">
        <v>18</v>
      </c>
      <c r="O8" s="9" t="s">
        <v>231</v>
      </c>
      <c r="Q8" s="11" t="s">
        <v>237</v>
      </c>
    </row>
    <row r="9" spans="1:18" x14ac:dyDescent="0.3">
      <c r="A9" s="10" t="s">
        <v>28</v>
      </c>
      <c r="B9" s="11" t="s">
        <v>24</v>
      </c>
      <c r="C9" s="12">
        <v>37561</v>
      </c>
      <c r="D9" s="7">
        <f t="shared" ca="1" si="0"/>
        <v>24</v>
      </c>
      <c r="E9" s="12">
        <v>45836</v>
      </c>
      <c r="F9" s="12">
        <v>45853</v>
      </c>
      <c r="G9" s="18">
        <f t="shared" si="1"/>
        <v>17</v>
      </c>
      <c r="H9" s="11" t="s">
        <v>232</v>
      </c>
      <c r="I9" s="11" t="s">
        <v>238</v>
      </c>
      <c r="J9" s="11" t="s">
        <v>236</v>
      </c>
      <c r="K9" s="11" t="s">
        <v>229</v>
      </c>
      <c r="L9" s="16">
        <v>15337.85</v>
      </c>
      <c r="M9" s="11" t="s">
        <v>14</v>
      </c>
      <c r="N9" s="11" t="s">
        <v>230</v>
      </c>
      <c r="O9" s="13" t="s">
        <v>231</v>
      </c>
      <c r="Q9" s="7" t="s">
        <v>239</v>
      </c>
    </row>
    <row r="10" spans="1:18" x14ac:dyDescent="0.3">
      <c r="A10" s="6" t="s">
        <v>29</v>
      </c>
      <c r="B10" s="7" t="s">
        <v>11</v>
      </c>
      <c r="C10" s="8">
        <v>31656</v>
      </c>
      <c r="D10" s="7">
        <f t="shared" ca="1" si="0"/>
        <v>40</v>
      </c>
      <c r="E10" s="8">
        <v>45296</v>
      </c>
      <c r="F10" s="8">
        <v>45300</v>
      </c>
      <c r="G10" s="18">
        <f t="shared" si="1"/>
        <v>4</v>
      </c>
      <c r="H10" s="7" t="s">
        <v>30</v>
      </c>
      <c r="I10" s="7" t="s">
        <v>238</v>
      </c>
      <c r="J10" s="7" t="s">
        <v>236</v>
      </c>
      <c r="K10" s="7" t="s">
        <v>237</v>
      </c>
      <c r="L10" s="15">
        <v>39190.080000000002</v>
      </c>
      <c r="M10" s="7" t="s">
        <v>20</v>
      </c>
      <c r="N10" s="7" t="s">
        <v>18</v>
      </c>
      <c r="O10" s="9" t="s">
        <v>21</v>
      </c>
    </row>
    <row r="11" spans="1:18" x14ac:dyDescent="0.3">
      <c r="A11" s="10" t="s">
        <v>31</v>
      </c>
      <c r="B11" s="11" t="s">
        <v>11</v>
      </c>
      <c r="C11" s="12">
        <v>34039</v>
      </c>
      <c r="D11" s="7">
        <f t="shared" ca="1" si="0"/>
        <v>34</v>
      </c>
      <c r="E11" s="12">
        <v>45423</v>
      </c>
      <c r="F11" s="12">
        <v>45435</v>
      </c>
      <c r="G11" s="18">
        <f t="shared" si="1"/>
        <v>12</v>
      </c>
      <c r="H11" s="11" t="s">
        <v>232</v>
      </c>
      <c r="I11" s="11" t="s">
        <v>27</v>
      </c>
      <c r="J11" s="11" t="s">
        <v>13</v>
      </c>
      <c r="K11" s="11" t="s">
        <v>237</v>
      </c>
      <c r="L11" s="16">
        <v>44710.16</v>
      </c>
      <c r="M11" s="11" t="s">
        <v>14</v>
      </c>
      <c r="N11" s="11" t="s">
        <v>230</v>
      </c>
      <c r="O11" s="13" t="s">
        <v>21</v>
      </c>
    </row>
    <row r="12" spans="1:18" x14ac:dyDescent="0.3">
      <c r="A12" s="6" t="s">
        <v>32</v>
      </c>
      <c r="B12" s="7" t="s">
        <v>24</v>
      </c>
      <c r="C12" s="8">
        <v>18722</v>
      </c>
      <c r="D12" s="7">
        <f t="shared" ca="1" si="0"/>
        <v>75</v>
      </c>
      <c r="E12" s="8">
        <v>45741</v>
      </c>
      <c r="F12" s="8">
        <v>45750</v>
      </c>
      <c r="G12" s="18">
        <f t="shared" si="1"/>
        <v>9</v>
      </c>
      <c r="H12" s="7" t="s">
        <v>232</v>
      </c>
      <c r="I12" s="7" t="s">
        <v>228</v>
      </c>
      <c r="J12" s="7" t="s">
        <v>236</v>
      </c>
      <c r="K12" s="7" t="s">
        <v>237</v>
      </c>
      <c r="L12" s="15">
        <v>34230.61</v>
      </c>
      <c r="M12" s="7" t="s">
        <v>17</v>
      </c>
      <c r="N12" s="7" t="s">
        <v>18</v>
      </c>
      <c r="O12" s="9" t="s">
        <v>231</v>
      </c>
    </row>
    <row r="13" spans="1:18" x14ac:dyDescent="0.3">
      <c r="A13" s="10" t="s">
        <v>33</v>
      </c>
      <c r="B13" s="11" t="s">
        <v>11</v>
      </c>
      <c r="C13" s="12">
        <v>39872</v>
      </c>
      <c r="D13" s="7">
        <f t="shared" ca="1" si="0"/>
        <v>18</v>
      </c>
      <c r="E13" s="12">
        <v>45859</v>
      </c>
      <c r="F13" s="12">
        <v>45878</v>
      </c>
      <c r="G13" s="18">
        <f t="shared" si="1"/>
        <v>19</v>
      </c>
      <c r="H13" s="11" t="s">
        <v>234</v>
      </c>
      <c r="I13" s="11" t="s">
        <v>34</v>
      </c>
      <c r="J13" s="11" t="s">
        <v>16</v>
      </c>
      <c r="K13" s="11" t="s">
        <v>240</v>
      </c>
      <c r="L13" s="16">
        <v>5435.95</v>
      </c>
      <c r="M13" s="11" t="s">
        <v>17</v>
      </c>
      <c r="N13" s="11" t="s">
        <v>18</v>
      </c>
      <c r="O13" s="13" t="s">
        <v>231</v>
      </c>
    </row>
    <row r="14" spans="1:18" x14ac:dyDescent="0.3">
      <c r="A14" s="6" t="s">
        <v>35</v>
      </c>
      <c r="B14" s="7" t="s">
        <v>24</v>
      </c>
      <c r="C14" s="8">
        <v>36809</v>
      </c>
      <c r="D14" s="7">
        <f t="shared" ca="1" si="0"/>
        <v>26</v>
      </c>
      <c r="E14" s="8">
        <v>45826</v>
      </c>
      <c r="F14" s="8">
        <v>45838</v>
      </c>
      <c r="G14" s="18">
        <f t="shared" si="1"/>
        <v>12</v>
      </c>
      <c r="H14" s="7" t="s">
        <v>232</v>
      </c>
      <c r="I14" s="7" t="s">
        <v>233</v>
      </c>
      <c r="J14" s="7" t="s">
        <v>236</v>
      </c>
      <c r="K14" s="7" t="s">
        <v>229</v>
      </c>
      <c r="L14" s="15">
        <v>14057.82</v>
      </c>
      <c r="M14" s="7" t="s">
        <v>14</v>
      </c>
      <c r="N14" s="7" t="s">
        <v>230</v>
      </c>
      <c r="O14" s="9" t="s">
        <v>231</v>
      </c>
    </row>
    <row r="15" spans="1:18" x14ac:dyDescent="0.3">
      <c r="A15" s="10" t="s">
        <v>36</v>
      </c>
      <c r="B15" s="11" t="s">
        <v>11</v>
      </c>
      <c r="C15" s="12">
        <v>22994</v>
      </c>
      <c r="D15" s="7">
        <f t="shared" ca="1" si="0"/>
        <v>64</v>
      </c>
      <c r="E15" s="12">
        <v>45475</v>
      </c>
      <c r="F15" s="12">
        <v>45484</v>
      </c>
      <c r="G15" s="18">
        <f t="shared" si="1"/>
        <v>9</v>
      </c>
      <c r="H15" s="11" t="s">
        <v>235</v>
      </c>
      <c r="I15" s="11" t="s">
        <v>34</v>
      </c>
      <c r="J15" s="11" t="s">
        <v>16</v>
      </c>
      <c r="K15" s="11" t="s">
        <v>239</v>
      </c>
      <c r="L15" s="16">
        <v>6246.27</v>
      </c>
      <c r="M15" s="11" t="s">
        <v>14</v>
      </c>
      <c r="N15" s="11" t="s">
        <v>230</v>
      </c>
      <c r="O15" s="13" t="s">
        <v>231</v>
      </c>
    </row>
    <row r="16" spans="1:18" x14ac:dyDescent="0.3">
      <c r="A16" s="6" t="s">
        <v>37</v>
      </c>
      <c r="B16" s="7" t="s">
        <v>24</v>
      </c>
      <c r="C16" s="8">
        <v>22314</v>
      </c>
      <c r="D16" s="7">
        <f t="shared" ca="1" si="0"/>
        <v>66</v>
      </c>
      <c r="E16" s="8">
        <v>45875</v>
      </c>
      <c r="F16" s="8">
        <v>45882</v>
      </c>
      <c r="G16" s="18">
        <f t="shared" si="1"/>
        <v>7</v>
      </c>
      <c r="H16" s="7" t="s">
        <v>234</v>
      </c>
      <c r="I16" s="7" t="s">
        <v>27</v>
      </c>
      <c r="J16" s="7" t="s">
        <v>16</v>
      </c>
      <c r="K16" s="7" t="s">
        <v>240</v>
      </c>
      <c r="L16" s="15">
        <v>29797.26</v>
      </c>
      <c r="M16" s="7" t="s">
        <v>17</v>
      </c>
      <c r="N16" s="7" t="s">
        <v>18</v>
      </c>
      <c r="O16" s="9" t="s">
        <v>21</v>
      </c>
    </row>
    <row r="17" spans="1:15" x14ac:dyDescent="0.3">
      <c r="A17" s="10" t="s">
        <v>38</v>
      </c>
      <c r="B17" s="11" t="s">
        <v>11</v>
      </c>
      <c r="C17" s="12">
        <v>22350</v>
      </c>
      <c r="D17" s="7">
        <f t="shared" ca="1" si="0"/>
        <v>66</v>
      </c>
      <c r="E17" s="12">
        <v>45486</v>
      </c>
      <c r="F17" s="12">
        <v>45500</v>
      </c>
      <c r="G17" s="18">
        <f t="shared" si="1"/>
        <v>14</v>
      </c>
      <c r="H17" s="11" t="s">
        <v>235</v>
      </c>
      <c r="I17" s="11" t="s">
        <v>238</v>
      </c>
      <c r="J17" s="11" t="s">
        <v>236</v>
      </c>
      <c r="K17" s="11" t="s">
        <v>229</v>
      </c>
      <c r="L17" s="16">
        <v>34785.800000000003</v>
      </c>
      <c r="M17" s="11" t="s">
        <v>20</v>
      </c>
      <c r="N17" s="11" t="s">
        <v>18</v>
      </c>
      <c r="O17" s="13" t="s">
        <v>21</v>
      </c>
    </row>
    <row r="18" spans="1:15" x14ac:dyDescent="0.3">
      <c r="A18" s="6" t="s">
        <v>39</v>
      </c>
      <c r="B18" s="7" t="s">
        <v>11</v>
      </c>
      <c r="C18" s="8">
        <v>25042</v>
      </c>
      <c r="D18" s="7">
        <f t="shared" ca="1" si="0"/>
        <v>58</v>
      </c>
      <c r="E18" s="8">
        <v>45558</v>
      </c>
      <c r="F18" s="8">
        <v>45578</v>
      </c>
      <c r="G18" s="18">
        <f t="shared" si="1"/>
        <v>20</v>
      </c>
      <c r="H18" s="7" t="s">
        <v>30</v>
      </c>
      <c r="I18" s="7" t="s">
        <v>238</v>
      </c>
      <c r="J18" s="7" t="s">
        <v>13</v>
      </c>
      <c r="K18" s="7" t="s">
        <v>229</v>
      </c>
      <c r="L18" s="15">
        <v>41766.86</v>
      </c>
      <c r="M18" s="7" t="s">
        <v>20</v>
      </c>
      <c r="N18" s="7" t="s">
        <v>18</v>
      </c>
      <c r="O18" s="9" t="s">
        <v>21</v>
      </c>
    </row>
    <row r="19" spans="1:15" x14ac:dyDescent="0.3">
      <c r="A19" s="10" t="s">
        <v>40</v>
      </c>
      <c r="B19" s="11" t="s">
        <v>24</v>
      </c>
      <c r="C19" s="12">
        <v>29955</v>
      </c>
      <c r="D19" s="7">
        <f t="shared" ca="1" si="0"/>
        <v>45</v>
      </c>
      <c r="E19" s="12">
        <v>45904</v>
      </c>
      <c r="F19" s="12">
        <v>45923</v>
      </c>
      <c r="G19" s="18">
        <f t="shared" si="1"/>
        <v>19</v>
      </c>
      <c r="H19" s="11" t="s">
        <v>234</v>
      </c>
      <c r="I19" s="11" t="s">
        <v>233</v>
      </c>
      <c r="J19" s="11" t="s">
        <v>236</v>
      </c>
      <c r="K19" s="11" t="s">
        <v>239</v>
      </c>
      <c r="L19" s="16">
        <v>20560.5</v>
      </c>
      <c r="M19" s="11" t="s">
        <v>14</v>
      </c>
      <c r="N19" s="11" t="s">
        <v>230</v>
      </c>
      <c r="O19" s="13" t="s">
        <v>21</v>
      </c>
    </row>
    <row r="20" spans="1:15" x14ac:dyDescent="0.3">
      <c r="A20" s="6" t="s">
        <v>41</v>
      </c>
      <c r="B20" s="7" t="s">
        <v>11</v>
      </c>
      <c r="C20" s="8">
        <v>27887</v>
      </c>
      <c r="D20" s="7">
        <f t="shared" ca="1" si="0"/>
        <v>50</v>
      </c>
      <c r="E20" s="8">
        <v>45824</v>
      </c>
      <c r="F20" s="8">
        <v>45839</v>
      </c>
      <c r="G20" s="18">
        <f t="shared" si="1"/>
        <v>15</v>
      </c>
      <c r="H20" s="7" t="s">
        <v>30</v>
      </c>
      <c r="I20" s="7" t="s">
        <v>238</v>
      </c>
      <c r="J20" s="7" t="s">
        <v>16</v>
      </c>
      <c r="K20" s="7" t="s">
        <v>239</v>
      </c>
      <c r="L20" s="15">
        <v>40709.839999999997</v>
      </c>
      <c r="M20" s="7" t="s">
        <v>20</v>
      </c>
      <c r="N20" s="7" t="s">
        <v>18</v>
      </c>
      <c r="O20" s="9" t="s">
        <v>21</v>
      </c>
    </row>
    <row r="21" spans="1:15" x14ac:dyDescent="0.3">
      <c r="A21" s="10" t="s">
        <v>42</v>
      </c>
      <c r="B21" s="11" t="s">
        <v>24</v>
      </c>
      <c r="C21" s="12">
        <v>24752</v>
      </c>
      <c r="D21" s="7">
        <f t="shared" ca="1" si="0"/>
        <v>59</v>
      </c>
      <c r="E21" s="12">
        <v>45988</v>
      </c>
      <c r="F21" s="12">
        <v>46004</v>
      </c>
      <c r="G21" s="18">
        <f t="shared" si="1"/>
        <v>16</v>
      </c>
      <c r="H21" s="11" t="s">
        <v>234</v>
      </c>
      <c r="I21" s="11" t="s">
        <v>238</v>
      </c>
      <c r="J21" s="11" t="s">
        <v>16</v>
      </c>
      <c r="K21" s="11" t="s">
        <v>239</v>
      </c>
      <c r="L21" s="16">
        <v>39688.269999999997</v>
      </c>
      <c r="M21" s="11" t="s">
        <v>17</v>
      </c>
      <c r="N21" s="11" t="s">
        <v>18</v>
      </c>
      <c r="O21" s="13" t="s">
        <v>231</v>
      </c>
    </row>
    <row r="22" spans="1:15" x14ac:dyDescent="0.3">
      <c r="A22" s="6" t="s">
        <v>43</v>
      </c>
      <c r="B22" s="7" t="s">
        <v>24</v>
      </c>
      <c r="C22" s="8">
        <v>31895</v>
      </c>
      <c r="D22" s="7">
        <f t="shared" ca="1" si="0"/>
        <v>39</v>
      </c>
      <c r="E22" s="8">
        <v>45831</v>
      </c>
      <c r="F22" s="8">
        <v>45836</v>
      </c>
      <c r="G22" s="18">
        <f t="shared" si="1"/>
        <v>5</v>
      </c>
      <c r="H22" s="7" t="s">
        <v>12</v>
      </c>
      <c r="I22" s="7" t="s">
        <v>233</v>
      </c>
      <c r="J22" s="7" t="s">
        <v>236</v>
      </c>
      <c r="K22" s="7" t="s">
        <v>237</v>
      </c>
      <c r="L22" s="15">
        <v>15298.01</v>
      </c>
      <c r="M22" s="7" t="s">
        <v>14</v>
      </c>
      <c r="N22" s="7" t="s">
        <v>230</v>
      </c>
      <c r="O22" s="9" t="s">
        <v>21</v>
      </c>
    </row>
    <row r="23" spans="1:15" x14ac:dyDescent="0.3">
      <c r="A23" s="10" t="s">
        <v>44</v>
      </c>
      <c r="B23" s="11" t="s">
        <v>24</v>
      </c>
      <c r="C23" s="12">
        <v>21371</v>
      </c>
      <c r="D23" s="7">
        <f t="shared" ca="1" si="0"/>
        <v>68</v>
      </c>
      <c r="E23" s="12">
        <v>45758</v>
      </c>
      <c r="F23" s="12">
        <v>45761</v>
      </c>
      <c r="G23" s="18">
        <f t="shared" si="1"/>
        <v>3</v>
      </c>
      <c r="H23" s="11" t="s">
        <v>232</v>
      </c>
      <c r="I23" s="11" t="s">
        <v>233</v>
      </c>
      <c r="J23" s="11" t="s">
        <v>13</v>
      </c>
      <c r="K23" s="11" t="s">
        <v>239</v>
      </c>
      <c r="L23" s="16">
        <v>39297.18</v>
      </c>
      <c r="M23" s="11" t="s">
        <v>17</v>
      </c>
      <c r="N23" s="11" t="s">
        <v>18</v>
      </c>
      <c r="O23" s="13" t="s">
        <v>21</v>
      </c>
    </row>
    <row r="24" spans="1:15" x14ac:dyDescent="0.3">
      <c r="A24" s="6" t="s">
        <v>45</v>
      </c>
      <c r="B24" s="7" t="s">
        <v>24</v>
      </c>
      <c r="C24" s="8">
        <v>24772</v>
      </c>
      <c r="D24" s="7">
        <f t="shared" ca="1" si="0"/>
        <v>59</v>
      </c>
      <c r="E24" s="8">
        <v>45368</v>
      </c>
      <c r="F24" s="8">
        <v>45380</v>
      </c>
      <c r="G24" s="18">
        <f t="shared" si="1"/>
        <v>12</v>
      </c>
      <c r="H24" s="7" t="s">
        <v>12</v>
      </c>
      <c r="I24" s="7" t="s">
        <v>27</v>
      </c>
      <c r="J24" s="7" t="s">
        <v>13</v>
      </c>
      <c r="K24" s="7" t="s">
        <v>229</v>
      </c>
      <c r="L24" s="15">
        <v>17841.740000000002</v>
      </c>
      <c r="M24" s="7" t="s">
        <v>17</v>
      </c>
      <c r="N24" s="7" t="s">
        <v>18</v>
      </c>
      <c r="O24" s="9" t="s">
        <v>21</v>
      </c>
    </row>
    <row r="25" spans="1:15" x14ac:dyDescent="0.3">
      <c r="A25" s="10" t="s">
        <v>46</v>
      </c>
      <c r="B25" s="11" t="s">
        <v>11</v>
      </c>
      <c r="C25" s="12">
        <v>26426</v>
      </c>
      <c r="D25" s="7">
        <f t="shared" ca="1" si="0"/>
        <v>54</v>
      </c>
      <c r="E25" s="12">
        <v>45593</v>
      </c>
      <c r="F25" s="12">
        <v>45613</v>
      </c>
      <c r="G25" s="18">
        <f t="shared" si="1"/>
        <v>20</v>
      </c>
      <c r="H25" s="11" t="s">
        <v>30</v>
      </c>
      <c r="I25" s="11" t="s">
        <v>238</v>
      </c>
      <c r="J25" s="11" t="s">
        <v>16</v>
      </c>
      <c r="K25" s="11" t="s">
        <v>239</v>
      </c>
      <c r="L25" s="16">
        <v>14413.81</v>
      </c>
      <c r="M25" s="11" t="s">
        <v>20</v>
      </c>
      <c r="N25" s="11" t="s">
        <v>18</v>
      </c>
      <c r="O25" s="13" t="s">
        <v>21</v>
      </c>
    </row>
    <row r="26" spans="1:15" x14ac:dyDescent="0.3">
      <c r="A26" s="6" t="s">
        <v>47</v>
      </c>
      <c r="B26" s="7" t="s">
        <v>11</v>
      </c>
      <c r="C26" s="8">
        <v>28424</v>
      </c>
      <c r="D26" s="7">
        <f t="shared" ca="1" si="0"/>
        <v>49</v>
      </c>
      <c r="E26" s="8">
        <v>45509</v>
      </c>
      <c r="F26" s="8">
        <v>45513</v>
      </c>
      <c r="G26" s="18">
        <f t="shared" si="1"/>
        <v>4</v>
      </c>
      <c r="H26" s="7" t="s">
        <v>232</v>
      </c>
      <c r="I26" s="7" t="s">
        <v>238</v>
      </c>
      <c r="J26" s="7" t="s">
        <v>16</v>
      </c>
      <c r="K26" s="7" t="s">
        <v>229</v>
      </c>
      <c r="L26" s="15">
        <v>29734.75</v>
      </c>
      <c r="M26" s="7" t="s">
        <v>14</v>
      </c>
      <c r="N26" s="7" t="s">
        <v>230</v>
      </c>
      <c r="O26" s="9" t="s">
        <v>21</v>
      </c>
    </row>
    <row r="27" spans="1:15" x14ac:dyDescent="0.3">
      <c r="A27" s="10" t="s">
        <v>48</v>
      </c>
      <c r="B27" s="11" t="s">
        <v>11</v>
      </c>
      <c r="C27" s="12">
        <v>35756</v>
      </c>
      <c r="D27" s="7">
        <f t="shared" ca="1" si="0"/>
        <v>29</v>
      </c>
      <c r="E27" s="12">
        <v>45492</v>
      </c>
      <c r="F27" s="12">
        <v>45508</v>
      </c>
      <c r="G27" s="18">
        <f t="shared" si="1"/>
        <v>16</v>
      </c>
      <c r="H27" s="11" t="s">
        <v>234</v>
      </c>
      <c r="I27" s="11" t="s">
        <v>27</v>
      </c>
      <c r="J27" s="11" t="s">
        <v>13</v>
      </c>
      <c r="K27" s="11" t="s">
        <v>240</v>
      </c>
      <c r="L27" s="16">
        <v>15784.58</v>
      </c>
      <c r="M27" s="11" t="s">
        <v>14</v>
      </c>
      <c r="N27" s="11" t="s">
        <v>230</v>
      </c>
      <c r="O27" s="13" t="s">
        <v>231</v>
      </c>
    </row>
    <row r="28" spans="1:15" x14ac:dyDescent="0.3">
      <c r="A28" s="6" t="s">
        <v>49</v>
      </c>
      <c r="B28" s="7" t="s">
        <v>24</v>
      </c>
      <c r="C28" s="8">
        <v>22712</v>
      </c>
      <c r="D28" s="7">
        <f t="shared" ca="1" si="0"/>
        <v>65</v>
      </c>
      <c r="E28" s="8">
        <v>46089</v>
      </c>
      <c r="F28" s="8">
        <v>46096</v>
      </c>
      <c r="G28" s="18">
        <f t="shared" si="1"/>
        <v>7</v>
      </c>
      <c r="H28" s="7" t="s">
        <v>232</v>
      </c>
      <c r="I28" s="7" t="s">
        <v>228</v>
      </c>
      <c r="J28" s="7" t="s">
        <v>236</v>
      </c>
      <c r="K28" s="7" t="s">
        <v>237</v>
      </c>
      <c r="L28" s="15">
        <v>28914.080000000002</v>
      </c>
      <c r="M28" s="7" t="s">
        <v>20</v>
      </c>
      <c r="N28" s="7" t="s">
        <v>18</v>
      </c>
      <c r="O28" s="9" t="s">
        <v>231</v>
      </c>
    </row>
    <row r="29" spans="1:15" x14ac:dyDescent="0.3">
      <c r="A29" s="10" t="s">
        <v>50</v>
      </c>
      <c r="B29" s="11" t="s">
        <v>11</v>
      </c>
      <c r="C29" s="12">
        <v>29720</v>
      </c>
      <c r="D29" s="7">
        <f t="shared" ca="1" si="0"/>
        <v>45</v>
      </c>
      <c r="E29" s="12">
        <v>45614</v>
      </c>
      <c r="F29" s="12">
        <v>45627</v>
      </c>
      <c r="G29" s="18">
        <f t="shared" si="1"/>
        <v>13</v>
      </c>
      <c r="H29" s="11" t="s">
        <v>235</v>
      </c>
      <c r="I29" s="11" t="s">
        <v>228</v>
      </c>
      <c r="J29" s="11" t="s">
        <v>16</v>
      </c>
      <c r="K29" s="11" t="s">
        <v>240</v>
      </c>
      <c r="L29" s="16">
        <v>28027.68</v>
      </c>
      <c r="M29" s="11" t="s">
        <v>17</v>
      </c>
      <c r="N29" s="11" t="s">
        <v>18</v>
      </c>
      <c r="O29" s="13" t="s">
        <v>231</v>
      </c>
    </row>
    <row r="30" spans="1:15" x14ac:dyDescent="0.3">
      <c r="A30" s="6" t="s">
        <v>51</v>
      </c>
      <c r="B30" s="7" t="s">
        <v>24</v>
      </c>
      <c r="C30" s="8">
        <v>31462</v>
      </c>
      <c r="D30" s="7">
        <f t="shared" ca="1" si="0"/>
        <v>41</v>
      </c>
      <c r="E30" s="8">
        <v>46023</v>
      </c>
      <c r="F30" s="8">
        <v>46033</v>
      </c>
      <c r="G30" s="18">
        <f t="shared" si="1"/>
        <v>10</v>
      </c>
      <c r="H30" s="7" t="s">
        <v>232</v>
      </c>
      <c r="I30" s="7" t="s">
        <v>228</v>
      </c>
      <c r="J30" s="7" t="s">
        <v>16</v>
      </c>
      <c r="K30" s="7" t="s">
        <v>240</v>
      </c>
      <c r="L30" s="15">
        <v>26009.59</v>
      </c>
      <c r="M30" s="7" t="s">
        <v>17</v>
      </c>
      <c r="N30" s="7" t="s">
        <v>18</v>
      </c>
      <c r="O30" s="9" t="s">
        <v>21</v>
      </c>
    </row>
    <row r="31" spans="1:15" x14ac:dyDescent="0.3">
      <c r="A31" s="10" t="s">
        <v>52</v>
      </c>
      <c r="B31" s="11" t="s">
        <v>11</v>
      </c>
      <c r="C31" s="12">
        <v>19298</v>
      </c>
      <c r="D31" s="7">
        <f t="shared" ca="1" si="0"/>
        <v>74</v>
      </c>
      <c r="E31" s="12">
        <v>45809</v>
      </c>
      <c r="F31" s="12">
        <v>45816</v>
      </c>
      <c r="G31" s="18">
        <f t="shared" si="1"/>
        <v>7</v>
      </c>
      <c r="H31" s="11" t="s">
        <v>235</v>
      </c>
      <c r="I31" s="11" t="s">
        <v>27</v>
      </c>
      <c r="J31" s="11" t="s">
        <v>13</v>
      </c>
      <c r="K31" s="11" t="s">
        <v>229</v>
      </c>
      <c r="L31" s="16">
        <v>18048.259999999998</v>
      </c>
      <c r="M31" s="11" t="s">
        <v>17</v>
      </c>
      <c r="N31" s="11" t="s">
        <v>18</v>
      </c>
      <c r="O31" s="13" t="s">
        <v>231</v>
      </c>
    </row>
    <row r="32" spans="1:15" x14ac:dyDescent="0.3">
      <c r="A32" s="6" t="s">
        <v>53</v>
      </c>
      <c r="B32" s="7" t="s">
        <v>11</v>
      </c>
      <c r="C32" s="8">
        <v>31799</v>
      </c>
      <c r="D32" s="7">
        <f t="shared" ca="1" si="0"/>
        <v>40</v>
      </c>
      <c r="E32" s="8">
        <v>45943</v>
      </c>
      <c r="F32" s="8">
        <v>45957</v>
      </c>
      <c r="G32" s="18">
        <f t="shared" si="1"/>
        <v>14</v>
      </c>
      <c r="H32" s="7" t="s">
        <v>232</v>
      </c>
      <c r="I32" s="7" t="s">
        <v>238</v>
      </c>
      <c r="J32" s="7" t="s">
        <v>236</v>
      </c>
      <c r="K32" s="7" t="s">
        <v>240</v>
      </c>
      <c r="L32" s="15">
        <v>25359.74</v>
      </c>
      <c r="M32" s="7" t="s">
        <v>17</v>
      </c>
      <c r="N32" s="7" t="s">
        <v>18</v>
      </c>
      <c r="O32" s="9" t="s">
        <v>231</v>
      </c>
    </row>
    <row r="33" spans="1:15" x14ac:dyDescent="0.3">
      <c r="A33" s="10" t="s">
        <v>54</v>
      </c>
      <c r="B33" s="11" t="s">
        <v>11</v>
      </c>
      <c r="C33" s="12">
        <v>22063</v>
      </c>
      <c r="D33" s="7">
        <f t="shared" ca="1" si="0"/>
        <v>66</v>
      </c>
      <c r="E33" s="12">
        <v>45704</v>
      </c>
      <c r="F33" s="12">
        <v>45709</v>
      </c>
      <c r="G33" s="18">
        <f t="shared" si="1"/>
        <v>5</v>
      </c>
      <c r="H33" s="11" t="s">
        <v>235</v>
      </c>
      <c r="I33" s="11" t="s">
        <v>27</v>
      </c>
      <c r="J33" s="11" t="s">
        <v>13</v>
      </c>
      <c r="K33" s="11" t="s">
        <v>229</v>
      </c>
      <c r="L33" s="16">
        <v>27447.119999999999</v>
      </c>
      <c r="M33" s="11" t="s">
        <v>14</v>
      </c>
      <c r="N33" s="11" t="s">
        <v>230</v>
      </c>
      <c r="O33" s="13" t="s">
        <v>21</v>
      </c>
    </row>
    <row r="34" spans="1:15" x14ac:dyDescent="0.3">
      <c r="A34" s="6" t="s">
        <v>55</v>
      </c>
      <c r="B34" s="7" t="s">
        <v>24</v>
      </c>
      <c r="C34" s="8">
        <v>19713</v>
      </c>
      <c r="D34" s="7">
        <f t="shared" ca="1" si="0"/>
        <v>73</v>
      </c>
      <c r="E34" s="8">
        <v>45765</v>
      </c>
      <c r="F34" s="8">
        <v>45768</v>
      </c>
      <c r="G34" s="18">
        <f t="shared" si="1"/>
        <v>3</v>
      </c>
      <c r="H34" s="7" t="s">
        <v>30</v>
      </c>
      <c r="I34" s="7" t="s">
        <v>27</v>
      </c>
      <c r="J34" s="7" t="s">
        <v>236</v>
      </c>
      <c r="K34" s="7" t="s">
        <v>239</v>
      </c>
      <c r="L34" s="15">
        <v>25237.38</v>
      </c>
      <c r="M34" s="7" t="s">
        <v>14</v>
      </c>
      <c r="N34" s="7" t="s">
        <v>230</v>
      </c>
      <c r="O34" s="9" t="s">
        <v>21</v>
      </c>
    </row>
    <row r="35" spans="1:15" x14ac:dyDescent="0.3">
      <c r="A35" s="10" t="s">
        <v>56</v>
      </c>
      <c r="B35" s="11" t="s">
        <v>11</v>
      </c>
      <c r="C35" s="12">
        <v>39404</v>
      </c>
      <c r="D35" s="7">
        <f t="shared" ca="1" si="0"/>
        <v>19</v>
      </c>
      <c r="E35" s="12">
        <v>45695</v>
      </c>
      <c r="F35" s="12">
        <v>45706</v>
      </c>
      <c r="G35" s="18">
        <f t="shared" si="1"/>
        <v>11</v>
      </c>
      <c r="H35" s="11" t="s">
        <v>12</v>
      </c>
      <c r="I35" s="11" t="s">
        <v>228</v>
      </c>
      <c r="J35" s="11" t="s">
        <v>236</v>
      </c>
      <c r="K35" s="11" t="s">
        <v>239</v>
      </c>
      <c r="L35" s="16">
        <v>20832.25</v>
      </c>
      <c r="M35" s="11" t="s">
        <v>20</v>
      </c>
      <c r="N35" s="11" t="s">
        <v>18</v>
      </c>
      <c r="O35" s="13" t="s">
        <v>21</v>
      </c>
    </row>
    <row r="36" spans="1:15" x14ac:dyDescent="0.3">
      <c r="A36" s="6" t="s">
        <v>57</v>
      </c>
      <c r="B36" s="7" t="s">
        <v>11</v>
      </c>
      <c r="C36" s="8">
        <v>39777</v>
      </c>
      <c r="D36" s="7">
        <f t="shared" ca="1" si="0"/>
        <v>18</v>
      </c>
      <c r="E36" s="8">
        <v>45452</v>
      </c>
      <c r="F36" s="8">
        <v>45463</v>
      </c>
      <c r="G36" s="18">
        <f t="shared" si="1"/>
        <v>11</v>
      </c>
      <c r="H36" s="7" t="s">
        <v>234</v>
      </c>
      <c r="I36" s="7" t="s">
        <v>34</v>
      </c>
      <c r="J36" s="7" t="s">
        <v>236</v>
      </c>
      <c r="K36" s="7" t="s">
        <v>229</v>
      </c>
      <c r="L36" s="15">
        <v>2138.02</v>
      </c>
      <c r="M36" s="7" t="s">
        <v>20</v>
      </c>
      <c r="N36" s="7" t="s">
        <v>18</v>
      </c>
      <c r="O36" s="9" t="s">
        <v>231</v>
      </c>
    </row>
    <row r="37" spans="1:15" x14ac:dyDescent="0.3">
      <c r="A37" s="10" t="s">
        <v>58</v>
      </c>
      <c r="B37" s="11" t="s">
        <v>24</v>
      </c>
      <c r="C37" s="12">
        <v>36274</v>
      </c>
      <c r="D37" s="7">
        <f t="shared" ca="1" si="0"/>
        <v>27</v>
      </c>
      <c r="E37" s="12">
        <v>45884</v>
      </c>
      <c r="F37" s="12">
        <v>45902</v>
      </c>
      <c r="G37" s="18">
        <f t="shared" si="1"/>
        <v>18</v>
      </c>
      <c r="H37" s="11" t="s">
        <v>232</v>
      </c>
      <c r="I37" s="11" t="s">
        <v>238</v>
      </c>
      <c r="J37" s="11" t="s">
        <v>16</v>
      </c>
      <c r="K37" s="11" t="s">
        <v>239</v>
      </c>
      <c r="L37" s="16">
        <v>27037.18</v>
      </c>
      <c r="M37" s="11" t="s">
        <v>14</v>
      </c>
      <c r="N37" s="11" t="s">
        <v>230</v>
      </c>
      <c r="O37" s="13" t="s">
        <v>231</v>
      </c>
    </row>
    <row r="38" spans="1:15" x14ac:dyDescent="0.3">
      <c r="A38" s="6" t="s">
        <v>59</v>
      </c>
      <c r="B38" s="7" t="s">
        <v>11</v>
      </c>
      <c r="C38" s="8">
        <v>25050</v>
      </c>
      <c r="D38" s="7">
        <f t="shared" ca="1" si="0"/>
        <v>58</v>
      </c>
      <c r="E38" s="8">
        <v>45522</v>
      </c>
      <c r="F38" s="8">
        <v>45537</v>
      </c>
      <c r="G38" s="18">
        <f t="shared" si="1"/>
        <v>15</v>
      </c>
      <c r="H38" s="7" t="s">
        <v>12</v>
      </c>
      <c r="I38" s="7" t="s">
        <v>228</v>
      </c>
      <c r="J38" s="7" t="s">
        <v>13</v>
      </c>
      <c r="K38" s="7" t="s">
        <v>237</v>
      </c>
      <c r="L38" s="15">
        <v>8827.33</v>
      </c>
      <c r="M38" s="7" t="s">
        <v>14</v>
      </c>
      <c r="N38" s="7" t="s">
        <v>230</v>
      </c>
      <c r="O38" s="9" t="s">
        <v>21</v>
      </c>
    </row>
    <row r="39" spans="1:15" x14ac:dyDescent="0.3">
      <c r="A39" s="10" t="s">
        <v>60</v>
      </c>
      <c r="B39" s="11" t="s">
        <v>24</v>
      </c>
      <c r="C39" s="12">
        <v>20440</v>
      </c>
      <c r="D39" s="7">
        <f t="shared" ca="1" si="0"/>
        <v>71</v>
      </c>
      <c r="E39" s="12">
        <v>45311</v>
      </c>
      <c r="F39" s="12">
        <v>45323</v>
      </c>
      <c r="G39" s="18">
        <f t="shared" si="1"/>
        <v>12</v>
      </c>
      <c r="H39" s="11" t="s">
        <v>234</v>
      </c>
      <c r="I39" s="11" t="s">
        <v>34</v>
      </c>
      <c r="J39" s="11" t="s">
        <v>13</v>
      </c>
      <c r="K39" s="11" t="s">
        <v>240</v>
      </c>
      <c r="L39" s="16">
        <v>29452.05</v>
      </c>
      <c r="M39" s="11" t="s">
        <v>17</v>
      </c>
      <c r="N39" s="11" t="s">
        <v>18</v>
      </c>
      <c r="O39" s="13" t="s">
        <v>21</v>
      </c>
    </row>
    <row r="40" spans="1:15" x14ac:dyDescent="0.3">
      <c r="A40" s="6" t="s">
        <v>61</v>
      </c>
      <c r="B40" s="7" t="s">
        <v>11</v>
      </c>
      <c r="C40" s="8">
        <v>33508</v>
      </c>
      <c r="D40" s="7">
        <f t="shared" ca="1" si="0"/>
        <v>35</v>
      </c>
      <c r="E40" s="8">
        <v>45821</v>
      </c>
      <c r="F40" s="8">
        <v>45830</v>
      </c>
      <c r="G40" s="18">
        <f t="shared" si="1"/>
        <v>9</v>
      </c>
      <c r="H40" s="7" t="s">
        <v>234</v>
      </c>
      <c r="I40" s="7" t="s">
        <v>34</v>
      </c>
      <c r="J40" s="7" t="s">
        <v>236</v>
      </c>
      <c r="K40" s="7" t="s">
        <v>237</v>
      </c>
      <c r="L40" s="15">
        <v>34531.480000000003</v>
      </c>
      <c r="M40" s="7" t="s">
        <v>17</v>
      </c>
      <c r="N40" s="7" t="s">
        <v>18</v>
      </c>
      <c r="O40" s="9" t="s">
        <v>231</v>
      </c>
    </row>
    <row r="41" spans="1:15" x14ac:dyDescent="0.3">
      <c r="A41" s="10" t="s">
        <v>62</v>
      </c>
      <c r="B41" s="11" t="s">
        <v>24</v>
      </c>
      <c r="C41" s="12">
        <v>28070</v>
      </c>
      <c r="D41" s="7">
        <f t="shared" ca="1" si="0"/>
        <v>50</v>
      </c>
      <c r="E41" s="12">
        <v>45437</v>
      </c>
      <c r="F41" s="12">
        <v>45447</v>
      </c>
      <c r="G41" s="18">
        <f t="shared" si="1"/>
        <v>10</v>
      </c>
      <c r="H41" s="11" t="s">
        <v>235</v>
      </c>
      <c r="I41" s="11" t="s">
        <v>233</v>
      </c>
      <c r="J41" s="11" t="s">
        <v>16</v>
      </c>
      <c r="K41" s="11" t="s">
        <v>240</v>
      </c>
      <c r="L41" s="16">
        <v>23269.37</v>
      </c>
      <c r="M41" s="11" t="s">
        <v>20</v>
      </c>
      <c r="N41" s="11" t="s">
        <v>18</v>
      </c>
      <c r="O41" s="13" t="s">
        <v>231</v>
      </c>
    </row>
    <row r="42" spans="1:15" x14ac:dyDescent="0.3">
      <c r="A42" s="6" t="s">
        <v>63</v>
      </c>
      <c r="B42" s="7" t="s">
        <v>24</v>
      </c>
      <c r="C42" s="8">
        <v>20982</v>
      </c>
      <c r="D42" s="7">
        <f t="shared" ca="1" si="0"/>
        <v>69</v>
      </c>
      <c r="E42" s="8">
        <v>46063</v>
      </c>
      <c r="F42" s="8">
        <v>46075</v>
      </c>
      <c r="G42" s="18">
        <f t="shared" si="1"/>
        <v>12</v>
      </c>
      <c r="H42" s="7" t="s">
        <v>30</v>
      </c>
      <c r="I42" s="7" t="s">
        <v>238</v>
      </c>
      <c r="J42" s="7" t="s">
        <v>16</v>
      </c>
      <c r="K42" s="7" t="s">
        <v>239</v>
      </c>
      <c r="L42" s="15">
        <v>25092.82</v>
      </c>
      <c r="M42" s="7" t="s">
        <v>14</v>
      </c>
      <c r="N42" s="7" t="s">
        <v>230</v>
      </c>
      <c r="O42" s="9" t="s">
        <v>21</v>
      </c>
    </row>
    <row r="43" spans="1:15" x14ac:dyDescent="0.3">
      <c r="A43" s="10" t="s">
        <v>64</v>
      </c>
      <c r="B43" s="11" t="s">
        <v>11</v>
      </c>
      <c r="C43" s="12">
        <v>29296</v>
      </c>
      <c r="D43" s="7">
        <f t="shared" ca="1" si="0"/>
        <v>47</v>
      </c>
      <c r="E43" s="12">
        <v>46074</v>
      </c>
      <c r="F43" s="12">
        <v>46091</v>
      </c>
      <c r="G43" s="18">
        <f t="shared" si="1"/>
        <v>17</v>
      </c>
      <c r="H43" s="11" t="s">
        <v>30</v>
      </c>
      <c r="I43" s="11" t="s">
        <v>34</v>
      </c>
      <c r="J43" s="11" t="s">
        <v>13</v>
      </c>
      <c r="K43" s="11" t="s">
        <v>237</v>
      </c>
      <c r="L43" s="16">
        <v>42889.32</v>
      </c>
      <c r="M43" s="11" t="s">
        <v>20</v>
      </c>
      <c r="N43" s="11" t="s">
        <v>18</v>
      </c>
      <c r="O43" s="13" t="s">
        <v>21</v>
      </c>
    </row>
    <row r="44" spans="1:15" x14ac:dyDescent="0.3">
      <c r="A44" s="6" t="s">
        <v>65</v>
      </c>
      <c r="B44" s="7" t="s">
        <v>24</v>
      </c>
      <c r="C44" s="8">
        <v>19030</v>
      </c>
      <c r="D44" s="7">
        <f t="shared" ca="1" si="0"/>
        <v>75</v>
      </c>
      <c r="E44" s="8">
        <v>46042</v>
      </c>
      <c r="F44" s="8">
        <v>46048</v>
      </c>
      <c r="G44" s="18">
        <f t="shared" si="1"/>
        <v>6</v>
      </c>
      <c r="H44" s="7" t="s">
        <v>12</v>
      </c>
      <c r="I44" s="7" t="s">
        <v>228</v>
      </c>
      <c r="J44" s="7" t="s">
        <v>16</v>
      </c>
      <c r="K44" s="7" t="s">
        <v>239</v>
      </c>
      <c r="L44" s="15">
        <v>38351.78</v>
      </c>
      <c r="M44" s="7" t="s">
        <v>14</v>
      </c>
      <c r="N44" s="7" t="s">
        <v>230</v>
      </c>
      <c r="O44" s="9" t="s">
        <v>231</v>
      </c>
    </row>
    <row r="45" spans="1:15" x14ac:dyDescent="0.3">
      <c r="A45" s="10" t="s">
        <v>66</v>
      </c>
      <c r="B45" s="11" t="s">
        <v>24</v>
      </c>
      <c r="C45" s="12">
        <v>38522</v>
      </c>
      <c r="D45" s="7">
        <f t="shared" ca="1" si="0"/>
        <v>21</v>
      </c>
      <c r="E45" s="12">
        <v>45595</v>
      </c>
      <c r="F45" s="12">
        <v>45602</v>
      </c>
      <c r="G45" s="18">
        <f t="shared" si="1"/>
        <v>7</v>
      </c>
      <c r="H45" s="11" t="s">
        <v>30</v>
      </c>
      <c r="I45" s="11" t="s">
        <v>233</v>
      </c>
      <c r="J45" s="11" t="s">
        <v>16</v>
      </c>
      <c r="K45" s="11" t="s">
        <v>240</v>
      </c>
      <c r="L45" s="16">
        <v>41269.29</v>
      </c>
      <c r="M45" s="11" t="s">
        <v>17</v>
      </c>
      <c r="N45" s="11" t="s">
        <v>18</v>
      </c>
      <c r="O45" s="13" t="s">
        <v>21</v>
      </c>
    </row>
    <row r="46" spans="1:15" x14ac:dyDescent="0.3">
      <c r="A46" s="6" t="s">
        <v>67</v>
      </c>
      <c r="B46" s="7" t="s">
        <v>24</v>
      </c>
      <c r="C46" s="8">
        <v>24029</v>
      </c>
      <c r="D46" s="7">
        <f t="shared" ca="1" si="0"/>
        <v>61</v>
      </c>
      <c r="E46" s="8">
        <v>45304</v>
      </c>
      <c r="F46" s="8">
        <v>45318</v>
      </c>
      <c r="G46" s="18">
        <f t="shared" si="1"/>
        <v>14</v>
      </c>
      <c r="H46" s="7" t="s">
        <v>232</v>
      </c>
      <c r="I46" s="7" t="s">
        <v>238</v>
      </c>
      <c r="J46" s="7" t="s">
        <v>236</v>
      </c>
      <c r="K46" s="7" t="s">
        <v>229</v>
      </c>
      <c r="L46" s="15">
        <v>36898.83</v>
      </c>
      <c r="M46" s="7" t="s">
        <v>20</v>
      </c>
      <c r="N46" s="7" t="s">
        <v>18</v>
      </c>
      <c r="O46" s="9" t="s">
        <v>231</v>
      </c>
    </row>
    <row r="47" spans="1:15" x14ac:dyDescent="0.3">
      <c r="A47" s="10" t="s">
        <v>68</v>
      </c>
      <c r="B47" s="11" t="s">
        <v>24</v>
      </c>
      <c r="C47" s="12">
        <v>33024</v>
      </c>
      <c r="D47" s="7">
        <f t="shared" ca="1" si="0"/>
        <v>36</v>
      </c>
      <c r="E47" s="12">
        <v>46053</v>
      </c>
      <c r="F47" s="12">
        <v>46066</v>
      </c>
      <c r="G47" s="18">
        <f t="shared" si="1"/>
        <v>13</v>
      </c>
      <c r="H47" s="11" t="s">
        <v>30</v>
      </c>
      <c r="I47" s="11" t="s">
        <v>27</v>
      </c>
      <c r="J47" s="11" t="s">
        <v>16</v>
      </c>
      <c r="K47" s="11" t="s">
        <v>229</v>
      </c>
      <c r="L47" s="16">
        <v>6237.95</v>
      </c>
      <c r="M47" s="11" t="s">
        <v>20</v>
      </c>
      <c r="N47" s="11" t="s">
        <v>18</v>
      </c>
      <c r="O47" s="13" t="s">
        <v>231</v>
      </c>
    </row>
    <row r="48" spans="1:15" x14ac:dyDescent="0.3">
      <c r="A48" s="6" t="s">
        <v>69</v>
      </c>
      <c r="B48" s="7" t="s">
        <v>24</v>
      </c>
      <c r="C48" s="8">
        <v>25208</v>
      </c>
      <c r="D48" s="7">
        <f t="shared" ca="1" si="0"/>
        <v>58</v>
      </c>
      <c r="E48" s="8">
        <v>45643</v>
      </c>
      <c r="F48" s="8">
        <v>45651</v>
      </c>
      <c r="G48" s="18">
        <f t="shared" si="1"/>
        <v>8</v>
      </c>
      <c r="H48" s="7" t="s">
        <v>12</v>
      </c>
      <c r="I48" s="7" t="s">
        <v>228</v>
      </c>
      <c r="J48" s="7" t="s">
        <v>236</v>
      </c>
      <c r="K48" s="7" t="s">
        <v>237</v>
      </c>
      <c r="L48" s="15">
        <v>7981.15</v>
      </c>
      <c r="M48" s="7" t="s">
        <v>14</v>
      </c>
      <c r="N48" s="7" t="s">
        <v>230</v>
      </c>
      <c r="O48" s="9" t="s">
        <v>231</v>
      </c>
    </row>
    <row r="49" spans="1:15" x14ac:dyDescent="0.3">
      <c r="A49" s="10" t="s">
        <v>70</v>
      </c>
      <c r="B49" s="11" t="s">
        <v>24</v>
      </c>
      <c r="C49" s="12">
        <v>29850</v>
      </c>
      <c r="D49" s="7">
        <f t="shared" ca="1" si="0"/>
        <v>45</v>
      </c>
      <c r="E49" s="12">
        <v>46084</v>
      </c>
      <c r="F49" s="12">
        <v>46094</v>
      </c>
      <c r="G49" s="18">
        <f t="shared" si="1"/>
        <v>10</v>
      </c>
      <c r="H49" s="11" t="s">
        <v>30</v>
      </c>
      <c r="I49" s="11" t="s">
        <v>34</v>
      </c>
      <c r="J49" s="11" t="s">
        <v>13</v>
      </c>
      <c r="K49" s="11" t="s">
        <v>239</v>
      </c>
      <c r="L49" s="16">
        <v>24408.14</v>
      </c>
      <c r="M49" s="11" t="s">
        <v>17</v>
      </c>
      <c r="N49" s="11" t="s">
        <v>18</v>
      </c>
      <c r="O49" s="13" t="s">
        <v>231</v>
      </c>
    </row>
    <row r="50" spans="1:15" x14ac:dyDescent="0.3">
      <c r="A50" s="6" t="s">
        <v>71</v>
      </c>
      <c r="B50" s="7" t="s">
        <v>11</v>
      </c>
      <c r="C50" s="8">
        <v>30444</v>
      </c>
      <c r="D50" s="7">
        <f t="shared" ca="1" si="0"/>
        <v>43</v>
      </c>
      <c r="E50" s="8">
        <v>46082</v>
      </c>
      <c r="F50" s="8">
        <v>46091</v>
      </c>
      <c r="G50" s="18">
        <f t="shared" si="1"/>
        <v>9</v>
      </c>
      <c r="H50" s="7" t="s">
        <v>232</v>
      </c>
      <c r="I50" s="7" t="s">
        <v>34</v>
      </c>
      <c r="J50" s="7" t="s">
        <v>16</v>
      </c>
      <c r="K50" s="7" t="s">
        <v>239</v>
      </c>
      <c r="L50" s="15">
        <v>12204.03</v>
      </c>
      <c r="M50" s="7" t="s">
        <v>20</v>
      </c>
      <c r="N50" s="7" t="s">
        <v>18</v>
      </c>
      <c r="O50" s="9" t="s">
        <v>21</v>
      </c>
    </row>
    <row r="51" spans="1:15" x14ac:dyDescent="0.3">
      <c r="A51" s="10" t="s">
        <v>72</v>
      </c>
      <c r="B51" s="11" t="s">
        <v>24</v>
      </c>
      <c r="C51" s="12">
        <v>22382</v>
      </c>
      <c r="D51" s="7">
        <f t="shared" ca="1" si="0"/>
        <v>65</v>
      </c>
      <c r="E51" s="12">
        <v>45991</v>
      </c>
      <c r="F51" s="12">
        <v>46009</v>
      </c>
      <c r="G51" s="18">
        <f t="shared" si="1"/>
        <v>18</v>
      </c>
      <c r="H51" s="11" t="s">
        <v>235</v>
      </c>
      <c r="I51" s="11" t="s">
        <v>228</v>
      </c>
      <c r="J51" s="11" t="s">
        <v>13</v>
      </c>
      <c r="K51" s="11" t="s">
        <v>237</v>
      </c>
      <c r="L51" s="16">
        <v>22236.25</v>
      </c>
      <c r="M51" s="11" t="s">
        <v>17</v>
      </c>
      <c r="N51" s="11" t="s">
        <v>18</v>
      </c>
      <c r="O51" s="13" t="s">
        <v>21</v>
      </c>
    </row>
    <row r="52" spans="1:15" x14ac:dyDescent="0.3">
      <c r="A52" s="6" t="s">
        <v>73</v>
      </c>
      <c r="B52" s="7" t="s">
        <v>24</v>
      </c>
      <c r="C52" s="8">
        <v>39865</v>
      </c>
      <c r="D52" s="7">
        <f t="shared" ca="1" si="0"/>
        <v>18</v>
      </c>
      <c r="E52" s="8">
        <v>45533</v>
      </c>
      <c r="F52" s="8">
        <v>45535</v>
      </c>
      <c r="G52" s="18">
        <f t="shared" si="1"/>
        <v>2</v>
      </c>
      <c r="H52" s="7" t="s">
        <v>12</v>
      </c>
      <c r="I52" s="7" t="s">
        <v>34</v>
      </c>
      <c r="J52" s="7" t="s">
        <v>13</v>
      </c>
      <c r="K52" s="7" t="s">
        <v>229</v>
      </c>
      <c r="L52" s="15">
        <v>18654.89</v>
      </c>
      <c r="M52" s="7" t="s">
        <v>20</v>
      </c>
      <c r="N52" s="7" t="s">
        <v>18</v>
      </c>
      <c r="O52" s="9" t="s">
        <v>231</v>
      </c>
    </row>
    <row r="53" spans="1:15" x14ac:dyDescent="0.3">
      <c r="A53" s="10" t="s">
        <v>74</v>
      </c>
      <c r="B53" s="11" t="s">
        <v>11</v>
      </c>
      <c r="C53" s="12">
        <v>35533</v>
      </c>
      <c r="D53" s="7">
        <f t="shared" ca="1" si="0"/>
        <v>29</v>
      </c>
      <c r="E53" s="12">
        <v>45607</v>
      </c>
      <c r="F53" s="12">
        <v>45612</v>
      </c>
      <c r="G53" s="18">
        <f t="shared" si="1"/>
        <v>5</v>
      </c>
      <c r="H53" s="11" t="s">
        <v>235</v>
      </c>
      <c r="I53" s="11" t="s">
        <v>233</v>
      </c>
      <c r="J53" s="11" t="s">
        <v>16</v>
      </c>
      <c r="K53" s="11" t="s">
        <v>240</v>
      </c>
      <c r="L53" s="16">
        <v>25399.52</v>
      </c>
      <c r="M53" s="11" t="s">
        <v>17</v>
      </c>
      <c r="N53" s="11" t="s">
        <v>18</v>
      </c>
      <c r="O53" s="13" t="s">
        <v>231</v>
      </c>
    </row>
    <row r="54" spans="1:15" x14ac:dyDescent="0.3">
      <c r="A54" s="6" t="s">
        <v>75</v>
      </c>
      <c r="B54" s="7" t="s">
        <v>11</v>
      </c>
      <c r="C54" s="8">
        <v>39195</v>
      </c>
      <c r="D54" s="7">
        <f t="shared" ca="1" si="0"/>
        <v>19</v>
      </c>
      <c r="E54" s="8">
        <v>45989</v>
      </c>
      <c r="F54" s="8">
        <v>45994</v>
      </c>
      <c r="G54" s="18">
        <f t="shared" si="1"/>
        <v>5</v>
      </c>
      <c r="H54" s="7" t="s">
        <v>235</v>
      </c>
      <c r="I54" s="7" t="s">
        <v>238</v>
      </c>
      <c r="J54" s="7" t="s">
        <v>16</v>
      </c>
      <c r="K54" s="7" t="s">
        <v>237</v>
      </c>
      <c r="L54" s="15">
        <v>33989.089999999997</v>
      </c>
      <c r="M54" s="7" t="s">
        <v>14</v>
      </c>
      <c r="N54" s="7" t="s">
        <v>230</v>
      </c>
      <c r="O54" s="9" t="s">
        <v>231</v>
      </c>
    </row>
    <row r="55" spans="1:15" x14ac:dyDescent="0.3">
      <c r="A55" s="10" t="s">
        <v>76</v>
      </c>
      <c r="B55" s="11" t="s">
        <v>11</v>
      </c>
      <c r="C55" s="12">
        <v>38199</v>
      </c>
      <c r="D55" s="7">
        <f t="shared" ca="1" si="0"/>
        <v>22</v>
      </c>
      <c r="E55" s="12">
        <v>45551</v>
      </c>
      <c r="F55" s="12">
        <v>45557</v>
      </c>
      <c r="G55" s="18">
        <f t="shared" si="1"/>
        <v>6</v>
      </c>
      <c r="H55" s="11" t="s">
        <v>235</v>
      </c>
      <c r="I55" s="11" t="s">
        <v>233</v>
      </c>
      <c r="J55" s="11" t="s">
        <v>13</v>
      </c>
      <c r="K55" s="11" t="s">
        <v>240</v>
      </c>
      <c r="L55" s="16">
        <v>32623.85</v>
      </c>
      <c r="M55" s="11" t="s">
        <v>20</v>
      </c>
      <c r="N55" s="11" t="s">
        <v>18</v>
      </c>
      <c r="O55" s="13" t="s">
        <v>231</v>
      </c>
    </row>
    <row r="56" spans="1:15" x14ac:dyDescent="0.3">
      <c r="A56" s="6" t="s">
        <v>77</v>
      </c>
      <c r="B56" s="7" t="s">
        <v>11</v>
      </c>
      <c r="C56" s="8">
        <v>31584</v>
      </c>
      <c r="D56" s="7">
        <f t="shared" ca="1" si="0"/>
        <v>40</v>
      </c>
      <c r="E56" s="8">
        <v>45430</v>
      </c>
      <c r="F56" s="8">
        <v>45449</v>
      </c>
      <c r="G56" s="18">
        <f t="shared" si="1"/>
        <v>19</v>
      </c>
      <c r="H56" s="7" t="s">
        <v>234</v>
      </c>
      <c r="I56" s="7" t="s">
        <v>34</v>
      </c>
      <c r="J56" s="7" t="s">
        <v>16</v>
      </c>
      <c r="K56" s="7" t="s">
        <v>229</v>
      </c>
      <c r="L56" s="15">
        <v>24173.68</v>
      </c>
      <c r="M56" s="7" t="s">
        <v>20</v>
      </c>
      <c r="N56" s="7" t="s">
        <v>18</v>
      </c>
      <c r="O56" s="9" t="s">
        <v>231</v>
      </c>
    </row>
    <row r="57" spans="1:15" x14ac:dyDescent="0.3">
      <c r="A57" s="10" t="s">
        <v>78</v>
      </c>
      <c r="B57" s="11" t="s">
        <v>11</v>
      </c>
      <c r="C57" s="12">
        <v>38802</v>
      </c>
      <c r="D57" s="7">
        <f t="shared" ca="1" si="0"/>
        <v>20</v>
      </c>
      <c r="E57" s="12">
        <v>45748</v>
      </c>
      <c r="F57" s="12">
        <v>45756</v>
      </c>
      <c r="G57" s="18">
        <f t="shared" si="1"/>
        <v>8</v>
      </c>
      <c r="H57" s="11" t="s">
        <v>234</v>
      </c>
      <c r="I57" s="11" t="s">
        <v>27</v>
      </c>
      <c r="J57" s="11" t="s">
        <v>236</v>
      </c>
      <c r="K57" s="11" t="s">
        <v>239</v>
      </c>
      <c r="L57" s="16">
        <v>37274.11</v>
      </c>
      <c r="M57" s="11" t="s">
        <v>17</v>
      </c>
      <c r="N57" s="11" t="s">
        <v>18</v>
      </c>
      <c r="O57" s="13" t="s">
        <v>21</v>
      </c>
    </row>
    <row r="58" spans="1:15" x14ac:dyDescent="0.3">
      <c r="A58" s="6" t="s">
        <v>79</v>
      </c>
      <c r="B58" s="7" t="s">
        <v>11</v>
      </c>
      <c r="C58" s="8">
        <v>20235</v>
      </c>
      <c r="D58" s="7">
        <f t="shared" ca="1" si="0"/>
        <v>71</v>
      </c>
      <c r="E58" s="8">
        <v>46059</v>
      </c>
      <c r="F58" s="8">
        <v>46075</v>
      </c>
      <c r="G58" s="18">
        <f t="shared" si="1"/>
        <v>16</v>
      </c>
      <c r="H58" s="7" t="s">
        <v>235</v>
      </c>
      <c r="I58" s="7" t="s">
        <v>238</v>
      </c>
      <c r="J58" s="7" t="s">
        <v>236</v>
      </c>
      <c r="K58" s="7" t="s">
        <v>229</v>
      </c>
      <c r="L58" s="15">
        <v>20242.5</v>
      </c>
      <c r="M58" s="7" t="s">
        <v>17</v>
      </c>
      <c r="N58" s="7" t="s">
        <v>18</v>
      </c>
      <c r="O58" s="9" t="s">
        <v>21</v>
      </c>
    </row>
    <row r="59" spans="1:15" x14ac:dyDescent="0.3">
      <c r="A59" s="10" t="s">
        <v>80</v>
      </c>
      <c r="B59" s="11" t="s">
        <v>11</v>
      </c>
      <c r="C59" s="12">
        <v>22630</v>
      </c>
      <c r="D59" s="7">
        <f t="shared" ca="1" si="0"/>
        <v>65</v>
      </c>
      <c r="E59" s="12">
        <v>45862</v>
      </c>
      <c r="F59" s="12">
        <v>45875</v>
      </c>
      <c r="G59" s="18">
        <f t="shared" si="1"/>
        <v>13</v>
      </c>
      <c r="H59" s="11" t="s">
        <v>12</v>
      </c>
      <c r="I59" s="11" t="s">
        <v>238</v>
      </c>
      <c r="J59" s="11" t="s">
        <v>16</v>
      </c>
      <c r="K59" s="11" t="s">
        <v>237</v>
      </c>
      <c r="L59" s="16">
        <v>40507.07</v>
      </c>
      <c r="M59" s="11" t="s">
        <v>20</v>
      </c>
      <c r="N59" s="11" t="s">
        <v>18</v>
      </c>
      <c r="O59" s="13" t="s">
        <v>21</v>
      </c>
    </row>
    <row r="60" spans="1:15" x14ac:dyDescent="0.3">
      <c r="A60" s="6" t="s">
        <v>81</v>
      </c>
      <c r="B60" s="7" t="s">
        <v>24</v>
      </c>
      <c r="C60" s="8">
        <v>19271</v>
      </c>
      <c r="D60" s="7">
        <f t="shared" ca="1" si="0"/>
        <v>74</v>
      </c>
      <c r="E60" s="8">
        <v>45759</v>
      </c>
      <c r="F60" s="8">
        <v>45760</v>
      </c>
      <c r="G60" s="18">
        <f t="shared" si="1"/>
        <v>1</v>
      </c>
      <c r="H60" s="7" t="s">
        <v>232</v>
      </c>
      <c r="I60" s="7" t="s">
        <v>228</v>
      </c>
      <c r="J60" s="7" t="s">
        <v>13</v>
      </c>
      <c r="K60" s="7" t="s">
        <v>239</v>
      </c>
      <c r="L60" s="15">
        <v>4600.6899999999996</v>
      </c>
      <c r="M60" s="7" t="s">
        <v>14</v>
      </c>
      <c r="N60" s="7" t="s">
        <v>230</v>
      </c>
      <c r="O60" s="9" t="s">
        <v>21</v>
      </c>
    </row>
    <row r="61" spans="1:15" x14ac:dyDescent="0.3">
      <c r="A61" s="10" t="s">
        <v>82</v>
      </c>
      <c r="B61" s="11" t="s">
        <v>24</v>
      </c>
      <c r="C61" s="12">
        <v>25512</v>
      </c>
      <c r="D61" s="7">
        <f t="shared" ca="1" si="0"/>
        <v>57</v>
      </c>
      <c r="E61" s="12">
        <v>45371</v>
      </c>
      <c r="F61" s="12">
        <v>45391</v>
      </c>
      <c r="G61" s="18">
        <f t="shared" si="1"/>
        <v>20</v>
      </c>
      <c r="H61" s="11" t="s">
        <v>232</v>
      </c>
      <c r="I61" s="11" t="s">
        <v>228</v>
      </c>
      <c r="J61" s="11" t="s">
        <v>16</v>
      </c>
      <c r="K61" s="11" t="s">
        <v>237</v>
      </c>
      <c r="L61" s="16">
        <v>43027.71</v>
      </c>
      <c r="M61" s="11" t="s">
        <v>17</v>
      </c>
      <c r="N61" s="11" t="s">
        <v>18</v>
      </c>
      <c r="O61" s="13" t="s">
        <v>231</v>
      </c>
    </row>
    <row r="62" spans="1:15" x14ac:dyDescent="0.3">
      <c r="A62" s="6" t="s">
        <v>83</v>
      </c>
      <c r="B62" s="7" t="s">
        <v>11</v>
      </c>
      <c r="C62" s="8">
        <v>26923</v>
      </c>
      <c r="D62" s="7">
        <f t="shared" ca="1" si="0"/>
        <v>53</v>
      </c>
      <c r="E62" s="8">
        <v>45796</v>
      </c>
      <c r="F62" s="8">
        <v>45813</v>
      </c>
      <c r="G62" s="18">
        <f t="shared" si="1"/>
        <v>17</v>
      </c>
      <c r="H62" s="7" t="s">
        <v>30</v>
      </c>
      <c r="I62" s="7" t="s">
        <v>27</v>
      </c>
      <c r="J62" s="7" t="s">
        <v>16</v>
      </c>
      <c r="K62" s="7" t="s">
        <v>237</v>
      </c>
      <c r="L62" s="15">
        <v>29979.15</v>
      </c>
      <c r="M62" s="7" t="s">
        <v>17</v>
      </c>
      <c r="N62" s="7" t="s">
        <v>18</v>
      </c>
      <c r="O62" s="9" t="s">
        <v>231</v>
      </c>
    </row>
    <row r="63" spans="1:15" x14ac:dyDescent="0.3">
      <c r="A63" s="10" t="s">
        <v>84</v>
      </c>
      <c r="B63" s="11" t="s">
        <v>24</v>
      </c>
      <c r="C63" s="12">
        <v>24309</v>
      </c>
      <c r="D63" s="7">
        <f t="shared" ca="1" si="0"/>
        <v>60</v>
      </c>
      <c r="E63" s="12">
        <v>46103</v>
      </c>
      <c r="F63" s="12">
        <v>46110</v>
      </c>
      <c r="G63" s="18">
        <f t="shared" si="1"/>
        <v>7</v>
      </c>
      <c r="H63" s="11" t="s">
        <v>12</v>
      </c>
      <c r="I63" s="11" t="s">
        <v>238</v>
      </c>
      <c r="J63" s="11" t="s">
        <v>13</v>
      </c>
      <c r="K63" s="11" t="s">
        <v>229</v>
      </c>
      <c r="L63" s="16">
        <v>18033.240000000002</v>
      </c>
      <c r="M63" s="11" t="s">
        <v>17</v>
      </c>
      <c r="N63" s="11" t="s">
        <v>18</v>
      </c>
      <c r="O63" s="13" t="s">
        <v>231</v>
      </c>
    </row>
    <row r="64" spans="1:15" x14ac:dyDescent="0.3">
      <c r="A64" s="6" t="s">
        <v>85</v>
      </c>
      <c r="B64" s="7" t="s">
        <v>24</v>
      </c>
      <c r="C64" s="8">
        <v>36727</v>
      </c>
      <c r="D64" s="7">
        <f t="shared" ca="1" si="0"/>
        <v>26</v>
      </c>
      <c r="E64" s="8">
        <v>45406</v>
      </c>
      <c r="F64" s="8">
        <v>45419</v>
      </c>
      <c r="G64" s="18">
        <f t="shared" si="1"/>
        <v>13</v>
      </c>
      <c r="H64" s="7" t="s">
        <v>234</v>
      </c>
      <c r="I64" s="7" t="s">
        <v>27</v>
      </c>
      <c r="J64" s="7" t="s">
        <v>13</v>
      </c>
      <c r="K64" s="7" t="s">
        <v>237</v>
      </c>
      <c r="L64" s="15">
        <v>10076.200000000001</v>
      </c>
      <c r="M64" s="7" t="s">
        <v>20</v>
      </c>
      <c r="N64" s="7" t="s">
        <v>18</v>
      </c>
      <c r="O64" s="9" t="s">
        <v>231</v>
      </c>
    </row>
    <row r="65" spans="1:15" x14ac:dyDescent="0.3">
      <c r="A65" s="10" t="s">
        <v>86</v>
      </c>
      <c r="B65" s="11" t="s">
        <v>24</v>
      </c>
      <c r="C65" s="12">
        <v>26212</v>
      </c>
      <c r="D65" s="7">
        <f t="shared" ca="1" si="0"/>
        <v>55</v>
      </c>
      <c r="E65" s="12">
        <v>45717</v>
      </c>
      <c r="F65" s="12">
        <v>45721</v>
      </c>
      <c r="G65" s="18">
        <f t="shared" si="1"/>
        <v>4</v>
      </c>
      <c r="H65" s="11" t="s">
        <v>235</v>
      </c>
      <c r="I65" s="11" t="s">
        <v>228</v>
      </c>
      <c r="J65" s="11" t="s">
        <v>236</v>
      </c>
      <c r="K65" s="11" t="s">
        <v>229</v>
      </c>
      <c r="L65" s="16">
        <v>22344.47</v>
      </c>
      <c r="M65" s="11" t="s">
        <v>20</v>
      </c>
      <c r="N65" s="11" t="s">
        <v>18</v>
      </c>
      <c r="O65" s="13" t="s">
        <v>231</v>
      </c>
    </row>
    <row r="66" spans="1:15" x14ac:dyDescent="0.3">
      <c r="A66" s="6" t="s">
        <v>87</v>
      </c>
      <c r="B66" s="7" t="s">
        <v>11</v>
      </c>
      <c r="C66" s="8">
        <v>24522</v>
      </c>
      <c r="D66" s="7">
        <f t="shared" ca="1" si="0"/>
        <v>60</v>
      </c>
      <c r="E66" s="8">
        <v>46011</v>
      </c>
      <c r="F66" s="8">
        <v>46015</v>
      </c>
      <c r="G66" s="18">
        <f t="shared" si="1"/>
        <v>4</v>
      </c>
      <c r="H66" s="7" t="s">
        <v>30</v>
      </c>
      <c r="I66" s="7" t="s">
        <v>228</v>
      </c>
      <c r="J66" s="7" t="s">
        <v>13</v>
      </c>
      <c r="K66" s="7" t="s">
        <v>239</v>
      </c>
      <c r="L66" s="15">
        <v>9963.2900000000009</v>
      </c>
      <c r="M66" s="7" t="s">
        <v>20</v>
      </c>
      <c r="N66" s="7" t="s">
        <v>18</v>
      </c>
      <c r="O66" s="9" t="s">
        <v>21</v>
      </c>
    </row>
    <row r="67" spans="1:15" x14ac:dyDescent="0.3">
      <c r="A67" s="10" t="s">
        <v>88</v>
      </c>
      <c r="B67" s="11" t="s">
        <v>11</v>
      </c>
      <c r="C67" s="12">
        <v>30354</v>
      </c>
      <c r="D67" s="7">
        <f t="shared" ref="D67:D130" ca="1" si="3">ROUND((TODAY()-C67)/365,0)</f>
        <v>44</v>
      </c>
      <c r="E67" s="12">
        <v>45899</v>
      </c>
      <c r="F67" s="12">
        <v>45905</v>
      </c>
      <c r="G67" s="18">
        <f t="shared" ref="G67:G130" si="4">F67-E67</f>
        <v>6</v>
      </c>
      <c r="H67" s="11" t="s">
        <v>232</v>
      </c>
      <c r="I67" s="11" t="s">
        <v>238</v>
      </c>
      <c r="J67" s="11" t="s">
        <v>236</v>
      </c>
      <c r="K67" s="11" t="s">
        <v>229</v>
      </c>
      <c r="L67" s="16">
        <v>8735.42</v>
      </c>
      <c r="M67" s="11" t="s">
        <v>20</v>
      </c>
      <c r="N67" s="11" t="s">
        <v>18</v>
      </c>
      <c r="O67" s="13" t="s">
        <v>231</v>
      </c>
    </row>
    <row r="68" spans="1:15" x14ac:dyDescent="0.3">
      <c r="A68" s="6" t="s">
        <v>89</v>
      </c>
      <c r="B68" s="7" t="s">
        <v>24</v>
      </c>
      <c r="C68" s="8">
        <v>21403</v>
      </c>
      <c r="D68" s="7">
        <f t="shared" ca="1" si="3"/>
        <v>68</v>
      </c>
      <c r="E68" s="8">
        <v>45863</v>
      </c>
      <c r="F68" s="8">
        <v>45882</v>
      </c>
      <c r="G68" s="18">
        <f t="shared" si="4"/>
        <v>19</v>
      </c>
      <c r="H68" s="7" t="s">
        <v>234</v>
      </c>
      <c r="I68" s="7" t="s">
        <v>233</v>
      </c>
      <c r="J68" s="7" t="s">
        <v>13</v>
      </c>
      <c r="K68" s="7" t="s">
        <v>239</v>
      </c>
      <c r="L68" s="15">
        <v>28354.799999999999</v>
      </c>
      <c r="M68" s="7" t="s">
        <v>14</v>
      </c>
      <c r="N68" s="7" t="s">
        <v>230</v>
      </c>
      <c r="O68" s="9" t="s">
        <v>21</v>
      </c>
    </row>
    <row r="69" spans="1:15" x14ac:dyDescent="0.3">
      <c r="A69" s="10" t="s">
        <v>90</v>
      </c>
      <c r="B69" s="11" t="s">
        <v>11</v>
      </c>
      <c r="C69" s="12">
        <v>36136</v>
      </c>
      <c r="D69" s="7">
        <f t="shared" ca="1" si="3"/>
        <v>28</v>
      </c>
      <c r="E69" s="12">
        <v>45868</v>
      </c>
      <c r="F69" s="12">
        <v>45880</v>
      </c>
      <c r="G69" s="18">
        <f t="shared" si="4"/>
        <v>12</v>
      </c>
      <c r="H69" s="11" t="s">
        <v>234</v>
      </c>
      <c r="I69" s="11" t="s">
        <v>34</v>
      </c>
      <c r="J69" s="11" t="s">
        <v>16</v>
      </c>
      <c r="K69" s="11" t="s">
        <v>229</v>
      </c>
      <c r="L69" s="16">
        <v>24254.19</v>
      </c>
      <c r="M69" s="11" t="s">
        <v>14</v>
      </c>
      <c r="N69" s="11" t="s">
        <v>230</v>
      </c>
      <c r="O69" s="13" t="s">
        <v>21</v>
      </c>
    </row>
    <row r="70" spans="1:15" x14ac:dyDescent="0.3">
      <c r="A70" s="6" t="s">
        <v>91</v>
      </c>
      <c r="B70" s="7" t="s">
        <v>24</v>
      </c>
      <c r="C70" s="8">
        <v>19924</v>
      </c>
      <c r="D70" s="7">
        <f t="shared" ca="1" si="3"/>
        <v>72</v>
      </c>
      <c r="E70" s="8">
        <v>45586</v>
      </c>
      <c r="F70" s="8">
        <v>45593</v>
      </c>
      <c r="G70" s="18">
        <f t="shared" si="4"/>
        <v>7</v>
      </c>
      <c r="H70" s="7" t="s">
        <v>235</v>
      </c>
      <c r="I70" s="7" t="s">
        <v>228</v>
      </c>
      <c r="J70" s="7" t="s">
        <v>236</v>
      </c>
      <c r="K70" s="7" t="s">
        <v>240</v>
      </c>
      <c r="L70" s="15">
        <v>30649.18</v>
      </c>
      <c r="M70" s="7" t="s">
        <v>20</v>
      </c>
      <c r="N70" s="7" t="s">
        <v>18</v>
      </c>
      <c r="O70" s="9" t="s">
        <v>21</v>
      </c>
    </row>
    <row r="71" spans="1:15" x14ac:dyDescent="0.3">
      <c r="A71" s="10" t="s">
        <v>92</v>
      </c>
      <c r="B71" s="11" t="s">
        <v>24</v>
      </c>
      <c r="C71" s="12">
        <v>40250</v>
      </c>
      <c r="D71" s="7">
        <f t="shared" ca="1" si="3"/>
        <v>17</v>
      </c>
      <c r="E71" s="12">
        <v>45532</v>
      </c>
      <c r="F71" s="12">
        <v>45542</v>
      </c>
      <c r="G71" s="18">
        <f t="shared" si="4"/>
        <v>10</v>
      </c>
      <c r="H71" s="11" t="s">
        <v>232</v>
      </c>
      <c r="I71" s="11" t="s">
        <v>228</v>
      </c>
      <c r="J71" s="11" t="s">
        <v>236</v>
      </c>
      <c r="K71" s="11" t="s">
        <v>240</v>
      </c>
      <c r="L71" s="16">
        <v>41937.86</v>
      </c>
      <c r="M71" s="11" t="s">
        <v>14</v>
      </c>
      <c r="N71" s="11" t="s">
        <v>230</v>
      </c>
      <c r="O71" s="13" t="s">
        <v>21</v>
      </c>
    </row>
    <row r="72" spans="1:15" x14ac:dyDescent="0.3">
      <c r="A72" s="6" t="s">
        <v>93</v>
      </c>
      <c r="B72" s="7" t="s">
        <v>24</v>
      </c>
      <c r="C72" s="8">
        <v>35468</v>
      </c>
      <c r="D72" s="7">
        <f t="shared" ca="1" si="3"/>
        <v>30</v>
      </c>
      <c r="E72" s="8">
        <v>45955</v>
      </c>
      <c r="F72" s="8">
        <v>45974</v>
      </c>
      <c r="G72" s="18">
        <f t="shared" si="4"/>
        <v>19</v>
      </c>
      <c r="H72" s="7" t="s">
        <v>12</v>
      </c>
      <c r="I72" s="7" t="s">
        <v>233</v>
      </c>
      <c r="J72" s="7" t="s">
        <v>236</v>
      </c>
      <c r="K72" s="7" t="s">
        <v>237</v>
      </c>
      <c r="L72" s="15">
        <v>24653.32</v>
      </c>
      <c r="M72" s="7" t="s">
        <v>17</v>
      </c>
      <c r="N72" s="7" t="s">
        <v>18</v>
      </c>
      <c r="O72" s="9" t="s">
        <v>231</v>
      </c>
    </row>
    <row r="73" spans="1:15" x14ac:dyDescent="0.3">
      <c r="A73" s="10" t="s">
        <v>94</v>
      </c>
      <c r="B73" s="11" t="s">
        <v>24</v>
      </c>
      <c r="C73" s="12">
        <v>22691</v>
      </c>
      <c r="D73" s="7">
        <f t="shared" ca="1" si="3"/>
        <v>65</v>
      </c>
      <c r="E73" s="12">
        <v>45956</v>
      </c>
      <c r="F73" s="12">
        <v>45963</v>
      </c>
      <c r="G73" s="18">
        <f t="shared" si="4"/>
        <v>7</v>
      </c>
      <c r="H73" s="11" t="s">
        <v>234</v>
      </c>
      <c r="I73" s="11" t="s">
        <v>233</v>
      </c>
      <c r="J73" s="11" t="s">
        <v>16</v>
      </c>
      <c r="K73" s="11" t="s">
        <v>229</v>
      </c>
      <c r="L73" s="16">
        <v>26770.54</v>
      </c>
      <c r="M73" s="11" t="s">
        <v>17</v>
      </c>
      <c r="N73" s="11" t="s">
        <v>18</v>
      </c>
      <c r="O73" s="13" t="s">
        <v>21</v>
      </c>
    </row>
    <row r="74" spans="1:15" x14ac:dyDescent="0.3">
      <c r="A74" s="6" t="s">
        <v>95</v>
      </c>
      <c r="B74" s="7" t="s">
        <v>11</v>
      </c>
      <c r="C74" s="8">
        <v>18387</v>
      </c>
      <c r="D74" s="7">
        <f t="shared" ca="1" si="3"/>
        <v>76</v>
      </c>
      <c r="E74" s="8">
        <v>46002</v>
      </c>
      <c r="F74" s="8">
        <v>46005</v>
      </c>
      <c r="G74" s="18">
        <f t="shared" si="4"/>
        <v>3</v>
      </c>
      <c r="H74" s="7" t="s">
        <v>235</v>
      </c>
      <c r="I74" s="7" t="s">
        <v>27</v>
      </c>
      <c r="J74" s="7" t="s">
        <v>16</v>
      </c>
      <c r="K74" s="7" t="s">
        <v>229</v>
      </c>
      <c r="L74" s="15">
        <v>5398.75</v>
      </c>
      <c r="M74" s="7" t="s">
        <v>17</v>
      </c>
      <c r="N74" s="7" t="s">
        <v>18</v>
      </c>
      <c r="O74" s="9" t="s">
        <v>21</v>
      </c>
    </row>
    <row r="75" spans="1:15" x14ac:dyDescent="0.3">
      <c r="A75" s="10" t="s">
        <v>96</v>
      </c>
      <c r="B75" s="11" t="s">
        <v>11</v>
      </c>
      <c r="C75" s="12">
        <v>36431</v>
      </c>
      <c r="D75" s="7">
        <f t="shared" ca="1" si="3"/>
        <v>27</v>
      </c>
      <c r="E75" s="12">
        <v>46040</v>
      </c>
      <c r="F75" s="12">
        <v>46053</v>
      </c>
      <c r="G75" s="18">
        <f t="shared" si="4"/>
        <v>13</v>
      </c>
      <c r="H75" s="11" t="s">
        <v>12</v>
      </c>
      <c r="I75" s="11" t="s">
        <v>27</v>
      </c>
      <c r="J75" s="11" t="s">
        <v>16</v>
      </c>
      <c r="K75" s="11" t="s">
        <v>239</v>
      </c>
      <c r="L75" s="16">
        <v>32717.16</v>
      </c>
      <c r="M75" s="11" t="s">
        <v>20</v>
      </c>
      <c r="N75" s="11" t="s">
        <v>18</v>
      </c>
      <c r="O75" s="13" t="s">
        <v>21</v>
      </c>
    </row>
    <row r="76" spans="1:15" x14ac:dyDescent="0.3">
      <c r="A76" s="6" t="s">
        <v>97</v>
      </c>
      <c r="B76" s="7" t="s">
        <v>11</v>
      </c>
      <c r="C76" s="8">
        <v>34012</v>
      </c>
      <c r="D76" s="7">
        <f t="shared" ca="1" si="3"/>
        <v>34</v>
      </c>
      <c r="E76" s="8">
        <v>45711</v>
      </c>
      <c r="F76" s="8">
        <v>45724</v>
      </c>
      <c r="G76" s="18">
        <f t="shared" si="4"/>
        <v>13</v>
      </c>
      <c r="H76" s="7" t="s">
        <v>232</v>
      </c>
      <c r="I76" s="7" t="s">
        <v>34</v>
      </c>
      <c r="J76" s="7" t="s">
        <v>16</v>
      </c>
      <c r="K76" s="7" t="s">
        <v>237</v>
      </c>
      <c r="L76" s="15">
        <v>18895.88</v>
      </c>
      <c r="M76" s="7" t="s">
        <v>17</v>
      </c>
      <c r="N76" s="7" t="s">
        <v>18</v>
      </c>
      <c r="O76" s="9" t="s">
        <v>231</v>
      </c>
    </row>
    <row r="77" spans="1:15" x14ac:dyDescent="0.3">
      <c r="A77" s="10" t="s">
        <v>98</v>
      </c>
      <c r="B77" s="11" t="s">
        <v>24</v>
      </c>
      <c r="C77" s="12">
        <v>34505</v>
      </c>
      <c r="D77" s="7">
        <f t="shared" ca="1" si="3"/>
        <v>32</v>
      </c>
      <c r="E77" s="12">
        <v>45703</v>
      </c>
      <c r="F77" s="12">
        <v>45721</v>
      </c>
      <c r="G77" s="18">
        <f t="shared" si="4"/>
        <v>18</v>
      </c>
      <c r="H77" s="11" t="s">
        <v>234</v>
      </c>
      <c r="I77" s="11" t="s">
        <v>34</v>
      </c>
      <c r="J77" s="11" t="s">
        <v>16</v>
      </c>
      <c r="K77" s="11" t="s">
        <v>229</v>
      </c>
      <c r="L77" s="16">
        <v>43987.55</v>
      </c>
      <c r="M77" s="11" t="s">
        <v>14</v>
      </c>
      <c r="N77" s="11" t="s">
        <v>230</v>
      </c>
      <c r="O77" s="13" t="s">
        <v>231</v>
      </c>
    </row>
    <row r="78" spans="1:15" x14ac:dyDescent="0.3">
      <c r="A78" s="6" t="s">
        <v>99</v>
      </c>
      <c r="B78" s="7" t="s">
        <v>11</v>
      </c>
      <c r="C78" s="8">
        <v>35447</v>
      </c>
      <c r="D78" s="7">
        <f t="shared" ca="1" si="3"/>
        <v>30</v>
      </c>
      <c r="E78" s="8">
        <v>45946</v>
      </c>
      <c r="F78" s="8">
        <v>45966</v>
      </c>
      <c r="G78" s="18">
        <f t="shared" si="4"/>
        <v>20</v>
      </c>
      <c r="H78" s="7" t="s">
        <v>12</v>
      </c>
      <c r="I78" s="7" t="s">
        <v>238</v>
      </c>
      <c r="J78" s="7" t="s">
        <v>236</v>
      </c>
      <c r="K78" s="7" t="s">
        <v>237</v>
      </c>
      <c r="L78" s="15">
        <v>37308.07</v>
      </c>
      <c r="M78" s="7" t="s">
        <v>20</v>
      </c>
      <c r="N78" s="7" t="s">
        <v>18</v>
      </c>
      <c r="O78" s="9" t="s">
        <v>231</v>
      </c>
    </row>
    <row r="79" spans="1:15" x14ac:dyDescent="0.3">
      <c r="A79" s="10" t="s">
        <v>100</v>
      </c>
      <c r="B79" s="11" t="s">
        <v>24</v>
      </c>
      <c r="C79" s="12">
        <v>19913</v>
      </c>
      <c r="D79" s="7">
        <f t="shared" ca="1" si="3"/>
        <v>72</v>
      </c>
      <c r="E79" s="12">
        <v>45824</v>
      </c>
      <c r="F79" s="12">
        <v>45832</v>
      </c>
      <c r="G79" s="18">
        <f t="shared" si="4"/>
        <v>8</v>
      </c>
      <c r="H79" s="11" t="s">
        <v>12</v>
      </c>
      <c r="I79" s="11" t="s">
        <v>27</v>
      </c>
      <c r="J79" s="11" t="s">
        <v>16</v>
      </c>
      <c r="K79" s="11" t="s">
        <v>240</v>
      </c>
      <c r="L79" s="16">
        <v>24227.93</v>
      </c>
      <c r="M79" s="11" t="s">
        <v>14</v>
      </c>
      <c r="N79" s="11" t="s">
        <v>230</v>
      </c>
      <c r="O79" s="13" t="s">
        <v>21</v>
      </c>
    </row>
    <row r="80" spans="1:15" x14ac:dyDescent="0.3">
      <c r="A80" s="6" t="s">
        <v>101</v>
      </c>
      <c r="B80" s="7" t="s">
        <v>11</v>
      </c>
      <c r="C80" s="8">
        <v>26250</v>
      </c>
      <c r="D80" s="7">
        <f t="shared" ca="1" si="3"/>
        <v>55</v>
      </c>
      <c r="E80" s="8">
        <v>45867</v>
      </c>
      <c r="F80" s="8">
        <v>45876</v>
      </c>
      <c r="G80" s="18">
        <f t="shared" si="4"/>
        <v>9</v>
      </c>
      <c r="H80" s="7" t="s">
        <v>12</v>
      </c>
      <c r="I80" s="7" t="s">
        <v>228</v>
      </c>
      <c r="J80" s="7" t="s">
        <v>236</v>
      </c>
      <c r="K80" s="7" t="s">
        <v>229</v>
      </c>
      <c r="L80" s="15">
        <v>6860.19</v>
      </c>
      <c r="M80" s="7" t="s">
        <v>17</v>
      </c>
      <c r="N80" s="7" t="s">
        <v>18</v>
      </c>
      <c r="O80" s="9" t="s">
        <v>21</v>
      </c>
    </row>
    <row r="81" spans="1:15" x14ac:dyDescent="0.3">
      <c r="A81" s="10" t="s">
        <v>102</v>
      </c>
      <c r="B81" s="11" t="s">
        <v>24</v>
      </c>
      <c r="C81" s="12">
        <v>20845</v>
      </c>
      <c r="D81" s="7">
        <f t="shared" ca="1" si="3"/>
        <v>70</v>
      </c>
      <c r="E81" s="12">
        <v>45944</v>
      </c>
      <c r="F81" s="12">
        <v>45951</v>
      </c>
      <c r="G81" s="18">
        <f t="shared" si="4"/>
        <v>7</v>
      </c>
      <c r="H81" s="11" t="s">
        <v>234</v>
      </c>
      <c r="I81" s="11" t="s">
        <v>27</v>
      </c>
      <c r="J81" s="11" t="s">
        <v>16</v>
      </c>
      <c r="K81" s="11" t="s">
        <v>229</v>
      </c>
      <c r="L81" s="16">
        <v>38884.589999999997</v>
      </c>
      <c r="M81" s="11" t="s">
        <v>17</v>
      </c>
      <c r="N81" s="11" t="s">
        <v>18</v>
      </c>
      <c r="O81" s="13" t="s">
        <v>231</v>
      </c>
    </row>
    <row r="82" spans="1:15" x14ac:dyDescent="0.3">
      <c r="A82" s="6" t="s">
        <v>103</v>
      </c>
      <c r="B82" s="7" t="s">
        <v>24</v>
      </c>
      <c r="C82" s="8">
        <v>37493</v>
      </c>
      <c r="D82" s="7">
        <f t="shared" ca="1" si="3"/>
        <v>24</v>
      </c>
      <c r="E82" s="8">
        <v>46021</v>
      </c>
      <c r="F82" s="8">
        <v>46022</v>
      </c>
      <c r="G82" s="18">
        <f t="shared" si="4"/>
        <v>1</v>
      </c>
      <c r="H82" s="7" t="s">
        <v>234</v>
      </c>
      <c r="I82" s="7" t="s">
        <v>228</v>
      </c>
      <c r="J82" s="7" t="s">
        <v>13</v>
      </c>
      <c r="K82" s="7" t="s">
        <v>237</v>
      </c>
      <c r="L82" s="15">
        <v>36290.480000000003</v>
      </c>
      <c r="M82" s="7" t="s">
        <v>17</v>
      </c>
      <c r="N82" s="7" t="s">
        <v>18</v>
      </c>
      <c r="O82" s="9" t="s">
        <v>21</v>
      </c>
    </row>
    <row r="83" spans="1:15" x14ac:dyDescent="0.3">
      <c r="A83" s="10" t="s">
        <v>104</v>
      </c>
      <c r="B83" s="11" t="s">
        <v>24</v>
      </c>
      <c r="C83" s="12">
        <v>32150</v>
      </c>
      <c r="D83" s="7">
        <f t="shared" ca="1" si="3"/>
        <v>39</v>
      </c>
      <c r="E83" s="12">
        <v>45569</v>
      </c>
      <c r="F83" s="12">
        <v>45572</v>
      </c>
      <c r="G83" s="18">
        <f t="shared" si="4"/>
        <v>3</v>
      </c>
      <c r="H83" s="11" t="s">
        <v>30</v>
      </c>
      <c r="I83" s="11" t="s">
        <v>233</v>
      </c>
      <c r="J83" s="11" t="s">
        <v>236</v>
      </c>
      <c r="K83" s="11" t="s">
        <v>229</v>
      </c>
      <c r="L83" s="16">
        <v>9529.4500000000007</v>
      </c>
      <c r="M83" s="11" t="s">
        <v>20</v>
      </c>
      <c r="N83" s="11" t="s">
        <v>18</v>
      </c>
      <c r="O83" s="13" t="s">
        <v>231</v>
      </c>
    </row>
    <row r="84" spans="1:15" x14ac:dyDescent="0.3">
      <c r="A84" s="6" t="s">
        <v>105</v>
      </c>
      <c r="B84" s="7" t="s">
        <v>11</v>
      </c>
      <c r="C84" s="8">
        <v>25636</v>
      </c>
      <c r="D84" s="7">
        <f t="shared" ca="1" si="3"/>
        <v>57</v>
      </c>
      <c r="E84" s="8">
        <v>45599</v>
      </c>
      <c r="F84" s="8">
        <v>45612</v>
      </c>
      <c r="G84" s="18">
        <f t="shared" si="4"/>
        <v>13</v>
      </c>
      <c r="H84" s="7" t="s">
        <v>232</v>
      </c>
      <c r="I84" s="7" t="s">
        <v>27</v>
      </c>
      <c r="J84" s="7" t="s">
        <v>13</v>
      </c>
      <c r="K84" s="7" t="s">
        <v>237</v>
      </c>
      <c r="L84" s="15">
        <v>14344.61</v>
      </c>
      <c r="M84" s="7" t="s">
        <v>14</v>
      </c>
      <c r="N84" s="7" t="s">
        <v>230</v>
      </c>
      <c r="O84" s="9" t="s">
        <v>231</v>
      </c>
    </row>
    <row r="85" spans="1:15" x14ac:dyDescent="0.3">
      <c r="A85" s="10" t="s">
        <v>106</v>
      </c>
      <c r="B85" s="11" t="s">
        <v>11</v>
      </c>
      <c r="C85" s="12">
        <v>19680</v>
      </c>
      <c r="D85" s="7">
        <f t="shared" ca="1" si="3"/>
        <v>73</v>
      </c>
      <c r="E85" s="12">
        <v>45369</v>
      </c>
      <c r="F85" s="12">
        <v>45386</v>
      </c>
      <c r="G85" s="18">
        <f t="shared" si="4"/>
        <v>17</v>
      </c>
      <c r="H85" s="11" t="s">
        <v>235</v>
      </c>
      <c r="I85" s="11" t="s">
        <v>233</v>
      </c>
      <c r="J85" s="11" t="s">
        <v>236</v>
      </c>
      <c r="K85" s="11" t="s">
        <v>229</v>
      </c>
      <c r="L85" s="16">
        <v>36013.22</v>
      </c>
      <c r="M85" s="11" t="s">
        <v>20</v>
      </c>
      <c r="N85" s="11" t="s">
        <v>18</v>
      </c>
      <c r="O85" s="13" t="s">
        <v>21</v>
      </c>
    </row>
    <row r="86" spans="1:15" x14ac:dyDescent="0.3">
      <c r="A86" s="6" t="s">
        <v>107</v>
      </c>
      <c r="B86" s="7" t="s">
        <v>11</v>
      </c>
      <c r="C86" s="8">
        <v>25192</v>
      </c>
      <c r="D86" s="7">
        <f t="shared" ca="1" si="3"/>
        <v>58</v>
      </c>
      <c r="E86" s="8">
        <v>45766</v>
      </c>
      <c r="F86" s="8">
        <v>45767</v>
      </c>
      <c r="G86" s="18">
        <f t="shared" si="4"/>
        <v>1</v>
      </c>
      <c r="H86" s="7" t="s">
        <v>12</v>
      </c>
      <c r="I86" s="7" t="s">
        <v>34</v>
      </c>
      <c r="J86" s="7" t="s">
        <v>13</v>
      </c>
      <c r="K86" s="7" t="s">
        <v>239</v>
      </c>
      <c r="L86" s="15">
        <v>9557.44</v>
      </c>
      <c r="M86" s="7" t="s">
        <v>20</v>
      </c>
      <c r="N86" s="7" t="s">
        <v>18</v>
      </c>
      <c r="O86" s="9" t="s">
        <v>21</v>
      </c>
    </row>
    <row r="87" spans="1:15" x14ac:dyDescent="0.3">
      <c r="A87" s="10" t="s">
        <v>108</v>
      </c>
      <c r="B87" s="11" t="s">
        <v>11</v>
      </c>
      <c r="C87" s="12">
        <v>25508</v>
      </c>
      <c r="D87" s="7">
        <f t="shared" ca="1" si="3"/>
        <v>57</v>
      </c>
      <c r="E87" s="12">
        <v>45321</v>
      </c>
      <c r="F87" s="12">
        <v>45327</v>
      </c>
      <c r="G87" s="18">
        <f t="shared" si="4"/>
        <v>6</v>
      </c>
      <c r="H87" s="11" t="s">
        <v>30</v>
      </c>
      <c r="I87" s="11" t="s">
        <v>34</v>
      </c>
      <c r="J87" s="11" t="s">
        <v>16</v>
      </c>
      <c r="K87" s="11" t="s">
        <v>237</v>
      </c>
      <c r="L87" s="16">
        <v>41422.230000000003</v>
      </c>
      <c r="M87" s="11" t="s">
        <v>17</v>
      </c>
      <c r="N87" s="11" t="s">
        <v>18</v>
      </c>
      <c r="O87" s="13" t="s">
        <v>21</v>
      </c>
    </row>
    <row r="88" spans="1:15" x14ac:dyDescent="0.3">
      <c r="A88" s="6" t="s">
        <v>109</v>
      </c>
      <c r="B88" s="7" t="s">
        <v>24</v>
      </c>
      <c r="C88" s="8">
        <v>34518</v>
      </c>
      <c r="D88" s="7">
        <f t="shared" ca="1" si="3"/>
        <v>32</v>
      </c>
      <c r="E88" s="8">
        <v>45673</v>
      </c>
      <c r="F88" s="8">
        <v>45679</v>
      </c>
      <c r="G88" s="18">
        <f t="shared" si="4"/>
        <v>6</v>
      </c>
      <c r="H88" s="7" t="s">
        <v>235</v>
      </c>
      <c r="I88" s="7" t="s">
        <v>238</v>
      </c>
      <c r="J88" s="7" t="s">
        <v>16</v>
      </c>
      <c r="K88" s="7" t="s">
        <v>229</v>
      </c>
      <c r="L88" s="15">
        <v>19966.939999999999</v>
      </c>
      <c r="M88" s="7" t="s">
        <v>20</v>
      </c>
      <c r="N88" s="7" t="s">
        <v>18</v>
      </c>
      <c r="O88" s="9" t="s">
        <v>21</v>
      </c>
    </row>
    <row r="89" spans="1:15" x14ac:dyDescent="0.3">
      <c r="A89" s="10" t="s">
        <v>110</v>
      </c>
      <c r="B89" s="11" t="s">
        <v>11</v>
      </c>
      <c r="C89" s="12">
        <v>32468</v>
      </c>
      <c r="D89" s="7">
        <f t="shared" ca="1" si="3"/>
        <v>38</v>
      </c>
      <c r="E89" s="12">
        <v>45736</v>
      </c>
      <c r="F89" s="12">
        <v>45748</v>
      </c>
      <c r="G89" s="18">
        <f t="shared" si="4"/>
        <v>12</v>
      </c>
      <c r="H89" s="11" t="s">
        <v>30</v>
      </c>
      <c r="I89" s="11" t="s">
        <v>27</v>
      </c>
      <c r="J89" s="11" t="s">
        <v>16</v>
      </c>
      <c r="K89" s="11" t="s">
        <v>240</v>
      </c>
      <c r="L89" s="16">
        <v>5286.19</v>
      </c>
      <c r="M89" s="11" t="s">
        <v>20</v>
      </c>
      <c r="N89" s="11" t="s">
        <v>18</v>
      </c>
      <c r="O89" s="13" t="s">
        <v>231</v>
      </c>
    </row>
    <row r="90" spans="1:15" x14ac:dyDescent="0.3">
      <c r="A90" s="6" t="s">
        <v>111</v>
      </c>
      <c r="B90" s="7" t="s">
        <v>11</v>
      </c>
      <c r="C90" s="8">
        <v>38030</v>
      </c>
      <c r="D90" s="7">
        <f t="shared" ca="1" si="3"/>
        <v>23</v>
      </c>
      <c r="E90" s="8">
        <v>45526</v>
      </c>
      <c r="F90" s="8">
        <v>45539</v>
      </c>
      <c r="G90" s="18">
        <f t="shared" si="4"/>
        <v>13</v>
      </c>
      <c r="H90" s="7" t="s">
        <v>234</v>
      </c>
      <c r="I90" s="7" t="s">
        <v>233</v>
      </c>
      <c r="J90" s="7" t="s">
        <v>236</v>
      </c>
      <c r="K90" s="7" t="s">
        <v>229</v>
      </c>
      <c r="L90" s="15">
        <v>36985.07</v>
      </c>
      <c r="M90" s="7" t="s">
        <v>17</v>
      </c>
      <c r="N90" s="7" t="s">
        <v>18</v>
      </c>
      <c r="O90" s="9" t="s">
        <v>231</v>
      </c>
    </row>
    <row r="91" spans="1:15" x14ac:dyDescent="0.3">
      <c r="A91" s="10" t="s">
        <v>112</v>
      </c>
      <c r="B91" s="11" t="s">
        <v>24</v>
      </c>
      <c r="C91" s="12">
        <v>28784</v>
      </c>
      <c r="D91" s="7">
        <f t="shared" ca="1" si="3"/>
        <v>48</v>
      </c>
      <c r="E91" s="12">
        <v>45776</v>
      </c>
      <c r="F91" s="12">
        <v>45789</v>
      </c>
      <c r="G91" s="18">
        <f t="shared" si="4"/>
        <v>13</v>
      </c>
      <c r="H91" s="11" t="s">
        <v>12</v>
      </c>
      <c r="I91" s="11" t="s">
        <v>228</v>
      </c>
      <c r="J91" s="11" t="s">
        <v>13</v>
      </c>
      <c r="K91" s="11" t="s">
        <v>240</v>
      </c>
      <c r="L91" s="16">
        <v>17747.669999999998</v>
      </c>
      <c r="M91" s="11" t="s">
        <v>20</v>
      </c>
      <c r="N91" s="11" t="s">
        <v>18</v>
      </c>
      <c r="O91" s="13" t="s">
        <v>231</v>
      </c>
    </row>
    <row r="92" spans="1:15" x14ac:dyDescent="0.3">
      <c r="A92" s="6" t="s">
        <v>113</v>
      </c>
      <c r="B92" s="7" t="s">
        <v>24</v>
      </c>
      <c r="C92" s="8">
        <v>20928</v>
      </c>
      <c r="D92" s="7">
        <f t="shared" ca="1" si="3"/>
        <v>69</v>
      </c>
      <c r="E92" s="8">
        <v>45317</v>
      </c>
      <c r="F92" s="8">
        <v>45332</v>
      </c>
      <c r="G92" s="18">
        <f t="shared" si="4"/>
        <v>15</v>
      </c>
      <c r="H92" s="7" t="s">
        <v>235</v>
      </c>
      <c r="I92" s="7" t="s">
        <v>34</v>
      </c>
      <c r="J92" s="7" t="s">
        <v>16</v>
      </c>
      <c r="K92" s="7" t="s">
        <v>240</v>
      </c>
      <c r="L92" s="15">
        <v>24402.71</v>
      </c>
      <c r="M92" s="7" t="s">
        <v>17</v>
      </c>
      <c r="N92" s="7" t="s">
        <v>18</v>
      </c>
      <c r="O92" s="9" t="s">
        <v>231</v>
      </c>
    </row>
    <row r="93" spans="1:15" x14ac:dyDescent="0.3">
      <c r="A93" s="10" t="s">
        <v>114</v>
      </c>
      <c r="B93" s="11" t="s">
        <v>24</v>
      </c>
      <c r="C93" s="12">
        <v>34154</v>
      </c>
      <c r="D93" s="7">
        <f t="shared" ca="1" si="3"/>
        <v>33</v>
      </c>
      <c r="E93" s="12">
        <v>45322</v>
      </c>
      <c r="F93" s="12">
        <v>45338</v>
      </c>
      <c r="G93" s="18">
        <f t="shared" si="4"/>
        <v>16</v>
      </c>
      <c r="H93" s="11" t="s">
        <v>235</v>
      </c>
      <c r="I93" s="11" t="s">
        <v>34</v>
      </c>
      <c r="J93" s="11" t="s">
        <v>13</v>
      </c>
      <c r="K93" s="11" t="s">
        <v>239</v>
      </c>
      <c r="L93" s="16">
        <v>6385.24</v>
      </c>
      <c r="M93" s="11" t="s">
        <v>17</v>
      </c>
      <c r="N93" s="11" t="s">
        <v>18</v>
      </c>
      <c r="O93" s="13" t="s">
        <v>231</v>
      </c>
    </row>
    <row r="94" spans="1:15" x14ac:dyDescent="0.3">
      <c r="A94" s="6" t="s">
        <v>115</v>
      </c>
      <c r="B94" s="7" t="s">
        <v>11</v>
      </c>
      <c r="C94" s="8">
        <v>35213</v>
      </c>
      <c r="D94" s="7">
        <f t="shared" ca="1" si="3"/>
        <v>30</v>
      </c>
      <c r="E94" s="8">
        <v>45966</v>
      </c>
      <c r="F94" s="8">
        <v>45977</v>
      </c>
      <c r="G94" s="18">
        <f t="shared" si="4"/>
        <v>11</v>
      </c>
      <c r="H94" s="7" t="s">
        <v>235</v>
      </c>
      <c r="I94" s="7" t="s">
        <v>228</v>
      </c>
      <c r="J94" s="7" t="s">
        <v>13</v>
      </c>
      <c r="K94" s="7" t="s">
        <v>237</v>
      </c>
      <c r="L94" s="15">
        <v>1612.4</v>
      </c>
      <c r="M94" s="7" t="s">
        <v>17</v>
      </c>
      <c r="N94" s="7" t="s">
        <v>18</v>
      </c>
      <c r="O94" s="9" t="s">
        <v>21</v>
      </c>
    </row>
    <row r="95" spans="1:15" x14ac:dyDescent="0.3">
      <c r="A95" s="10" t="s">
        <v>116</v>
      </c>
      <c r="B95" s="11" t="s">
        <v>24</v>
      </c>
      <c r="C95" s="12">
        <v>30768</v>
      </c>
      <c r="D95" s="7">
        <f t="shared" ca="1" si="3"/>
        <v>42</v>
      </c>
      <c r="E95" s="12">
        <v>45587</v>
      </c>
      <c r="F95" s="12">
        <v>45592</v>
      </c>
      <c r="G95" s="18">
        <f t="shared" si="4"/>
        <v>5</v>
      </c>
      <c r="H95" s="11" t="s">
        <v>235</v>
      </c>
      <c r="I95" s="11" t="s">
        <v>233</v>
      </c>
      <c r="J95" s="11" t="s">
        <v>16</v>
      </c>
      <c r="K95" s="11" t="s">
        <v>229</v>
      </c>
      <c r="L95" s="16">
        <v>29252.36</v>
      </c>
      <c r="M95" s="11" t="s">
        <v>17</v>
      </c>
      <c r="N95" s="11" t="s">
        <v>18</v>
      </c>
      <c r="O95" s="13" t="s">
        <v>231</v>
      </c>
    </row>
    <row r="96" spans="1:15" x14ac:dyDescent="0.3">
      <c r="A96" s="6" t="s">
        <v>117</v>
      </c>
      <c r="B96" s="7" t="s">
        <v>24</v>
      </c>
      <c r="C96" s="8">
        <v>35440</v>
      </c>
      <c r="D96" s="7">
        <f t="shared" ca="1" si="3"/>
        <v>30</v>
      </c>
      <c r="E96" s="8">
        <v>45396</v>
      </c>
      <c r="F96" s="8">
        <v>45400</v>
      </c>
      <c r="G96" s="18">
        <f t="shared" si="4"/>
        <v>4</v>
      </c>
      <c r="H96" s="7" t="s">
        <v>235</v>
      </c>
      <c r="I96" s="7" t="s">
        <v>233</v>
      </c>
      <c r="J96" s="7" t="s">
        <v>16</v>
      </c>
      <c r="K96" s="7" t="s">
        <v>239</v>
      </c>
      <c r="L96" s="15">
        <v>23910.12</v>
      </c>
      <c r="M96" s="7" t="s">
        <v>20</v>
      </c>
      <c r="N96" s="7" t="s">
        <v>18</v>
      </c>
      <c r="O96" s="9" t="s">
        <v>231</v>
      </c>
    </row>
    <row r="97" spans="1:15" x14ac:dyDescent="0.3">
      <c r="A97" s="10" t="s">
        <v>118</v>
      </c>
      <c r="B97" s="11" t="s">
        <v>24</v>
      </c>
      <c r="C97" s="12">
        <v>29265</v>
      </c>
      <c r="D97" s="7">
        <f t="shared" ca="1" si="3"/>
        <v>47</v>
      </c>
      <c r="E97" s="12">
        <v>45720</v>
      </c>
      <c r="F97" s="12">
        <v>45723</v>
      </c>
      <c r="G97" s="18">
        <f t="shared" si="4"/>
        <v>3</v>
      </c>
      <c r="H97" s="11" t="s">
        <v>30</v>
      </c>
      <c r="I97" s="11" t="s">
        <v>27</v>
      </c>
      <c r="J97" s="11" t="s">
        <v>13</v>
      </c>
      <c r="K97" s="11" t="s">
        <v>229</v>
      </c>
      <c r="L97" s="16">
        <v>27318.93</v>
      </c>
      <c r="M97" s="11" t="s">
        <v>17</v>
      </c>
      <c r="N97" s="11" t="s">
        <v>18</v>
      </c>
      <c r="O97" s="13" t="s">
        <v>231</v>
      </c>
    </row>
    <row r="98" spans="1:15" x14ac:dyDescent="0.3">
      <c r="A98" s="6" t="s">
        <v>119</v>
      </c>
      <c r="B98" s="7" t="s">
        <v>11</v>
      </c>
      <c r="C98" s="8">
        <v>29909</v>
      </c>
      <c r="D98" s="7">
        <f t="shared" ca="1" si="3"/>
        <v>45</v>
      </c>
      <c r="E98" s="8">
        <v>45923</v>
      </c>
      <c r="F98" s="8">
        <v>45942</v>
      </c>
      <c r="G98" s="18">
        <f t="shared" si="4"/>
        <v>19</v>
      </c>
      <c r="H98" s="7" t="s">
        <v>12</v>
      </c>
      <c r="I98" s="7" t="s">
        <v>27</v>
      </c>
      <c r="J98" s="7" t="s">
        <v>16</v>
      </c>
      <c r="K98" s="7" t="s">
        <v>240</v>
      </c>
      <c r="L98" s="15">
        <v>36027.86</v>
      </c>
      <c r="M98" s="7" t="s">
        <v>17</v>
      </c>
      <c r="N98" s="7" t="s">
        <v>18</v>
      </c>
      <c r="O98" s="9" t="s">
        <v>21</v>
      </c>
    </row>
    <row r="99" spans="1:15" x14ac:dyDescent="0.3">
      <c r="A99" s="10" t="s">
        <v>120</v>
      </c>
      <c r="B99" s="11" t="s">
        <v>24</v>
      </c>
      <c r="C99" s="12">
        <v>27789</v>
      </c>
      <c r="D99" s="7">
        <f t="shared" ca="1" si="3"/>
        <v>51</v>
      </c>
      <c r="E99" s="12">
        <v>45468</v>
      </c>
      <c r="F99" s="12">
        <v>45488</v>
      </c>
      <c r="G99" s="18">
        <f t="shared" si="4"/>
        <v>20</v>
      </c>
      <c r="H99" s="11" t="s">
        <v>234</v>
      </c>
      <c r="I99" s="11" t="s">
        <v>238</v>
      </c>
      <c r="J99" s="11" t="s">
        <v>16</v>
      </c>
      <c r="K99" s="11" t="s">
        <v>237</v>
      </c>
      <c r="L99" s="16">
        <v>29627.360000000001</v>
      </c>
      <c r="M99" s="11" t="s">
        <v>20</v>
      </c>
      <c r="N99" s="11" t="s">
        <v>18</v>
      </c>
      <c r="O99" s="13" t="s">
        <v>21</v>
      </c>
    </row>
    <row r="100" spans="1:15" x14ac:dyDescent="0.3">
      <c r="A100" s="6" t="s">
        <v>121</v>
      </c>
      <c r="B100" s="7" t="s">
        <v>11</v>
      </c>
      <c r="C100" s="8">
        <v>18830</v>
      </c>
      <c r="D100" s="7">
        <f t="shared" ca="1" si="3"/>
        <v>75</v>
      </c>
      <c r="E100" s="8">
        <v>45802</v>
      </c>
      <c r="F100" s="8">
        <v>45820</v>
      </c>
      <c r="G100" s="18">
        <f t="shared" si="4"/>
        <v>18</v>
      </c>
      <c r="H100" s="7" t="s">
        <v>234</v>
      </c>
      <c r="I100" s="7" t="s">
        <v>34</v>
      </c>
      <c r="J100" s="7" t="s">
        <v>16</v>
      </c>
      <c r="K100" s="7" t="s">
        <v>229</v>
      </c>
      <c r="L100" s="15">
        <v>9102.64</v>
      </c>
      <c r="M100" s="7" t="s">
        <v>20</v>
      </c>
      <c r="N100" s="7" t="s">
        <v>18</v>
      </c>
      <c r="O100" s="9" t="s">
        <v>21</v>
      </c>
    </row>
    <row r="101" spans="1:15" x14ac:dyDescent="0.3">
      <c r="A101" s="10" t="s">
        <v>122</v>
      </c>
      <c r="B101" s="11" t="s">
        <v>11</v>
      </c>
      <c r="C101" s="12">
        <v>20667</v>
      </c>
      <c r="D101" s="7">
        <f t="shared" ca="1" si="3"/>
        <v>70</v>
      </c>
      <c r="E101" s="12">
        <v>45361</v>
      </c>
      <c r="F101" s="12">
        <v>45376</v>
      </c>
      <c r="G101" s="18">
        <f t="shared" si="4"/>
        <v>15</v>
      </c>
      <c r="H101" s="11" t="s">
        <v>234</v>
      </c>
      <c r="I101" s="11" t="s">
        <v>27</v>
      </c>
      <c r="J101" s="11" t="s">
        <v>236</v>
      </c>
      <c r="K101" s="11" t="s">
        <v>229</v>
      </c>
      <c r="L101" s="16">
        <v>17193.599999999999</v>
      </c>
      <c r="M101" s="11" t="s">
        <v>14</v>
      </c>
      <c r="N101" s="11" t="s">
        <v>230</v>
      </c>
      <c r="O101" s="13" t="s">
        <v>21</v>
      </c>
    </row>
    <row r="102" spans="1:15" x14ac:dyDescent="0.3">
      <c r="A102" s="6" t="s">
        <v>123</v>
      </c>
      <c r="B102" s="7" t="s">
        <v>24</v>
      </c>
      <c r="C102" s="8">
        <v>18964</v>
      </c>
      <c r="D102" s="7">
        <f t="shared" ca="1" si="3"/>
        <v>75</v>
      </c>
      <c r="E102" s="8">
        <v>45334</v>
      </c>
      <c r="F102" s="8">
        <v>45343</v>
      </c>
      <c r="G102" s="18">
        <f t="shared" si="4"/>
        <v>9</v>
      </c>
      <c r="H102" s="7" t="s">
        <v>234</v>
      </c>
      <c r="I102" s="7" t="s">
        <v>233</v>
      </c>
      <c r="J102" s="7" t="s">
        <v>13</v>
      </c>
      <c r="K102" s="7" t="s">
        <v>240</v>
      </c>
      <c r="L102" s="15">
        <v>40906.26</v>
      </c>
      <c r="M102" s="7" t="s">
        <v>20</v>
      </c>
      <c r="N102" s="7" t="s">
        <v>18</v>
      </c>
      <c r="O102" s="9" t="s">
        <v>231</v>
      </c>
    </row>
    <row r="103" spans="1:15" x14ac:dyDescent="0.3">
      <c r="A103" s="10" t="s">
        <v>124</v>
      </c>
      <c r="B103" s="11" t="s">
        <v>24</v>
      </c>
      <c r="C103" s="12">
        <v>32442</v>
      </c>
      <c r="D103" s="7">
        <f t="shared" ca="1" si="3"/>
        <v>38</v>
      </c>
      <c r="E103" s="12">
        <v>45727</v>
      </c>
      <c r="F103" s="12">
        <v>45744</v>
      </c>
      <c r="G103" s="18">
        <f t="shared" si="4"/>
        <v>17</v>
      </c>
      <c r="H103" s="11" t="s">
        <v>30</v>
      </c>
      <c r="I103" s="11" t="s">
        <v>228</v>
      </c>
      <c r="J103" s="11" t="s">
        <v>13</v>
      </c>
      <c r="K103" s="11" t="s">
        <v>229</v>
      </c>
      <c r="L103" s="16">
        <v>34992.589999999997</v>
      </c>
      <c r="M103" s="11" t="s">
        <v>20</v>
      </c>
      <c r="N103" s="11" t="s">
        <v>18</v>
      </c>
      <c r="O103" s="13" t="s">
        <v>231</v>
      </c>
    </row>
    <row r="104" spans="1:15" x14ac:dyDescent="0.3">
      <c r="A104" s="6" t="s">
        <v>125</v>
      </c>
      <c r="B104" s="7" t="s">
        <v>11</v>
      </c>
      <c r="C104" s="8">
        <v>25267</v>
      </c>
      <c r="D104" s="7">
        <f t="shared" ca="1" si="3"/>
        <v>58</v>
      </c>
      <c r="E104" s="8">
        <v>45735</v>
      </c>
      <c r="F104" s="8">
        <v>45749</v>
      </c>
      <c r="G104" s="18">
        <f t="shared" si="4"/>
        <v>14</v>
      </c>
      <c r="H104" s="7" t="s">
        <v>232</v>
      </c>
      <c r="I104" s="7" t="s">
        <v>233</v>
      </c>
      <c r="J104" s="7" t="s">
        <v>236</v>
      </c>
      <c r="K104" s="7" t="s">
        <v>229</v>
      </c>
      <c r="L104" s="15">
        <v>25713.71</v>
      </c>
      <c r="M104" s="7" t="s">
        <v>14</v>
      </c>
      <c r="N104" s="7" t="s">
        <v>230</v>
      </c>
      <c r="O104" s="9" t="s">
        <v>21</v>
      </c>
    </row>
    <row r="105" spans="1:15" x14ac:dyDescent="0.3">
      <c r="A105" s="10" t="s">
        <v>126</v>
      </c>
      <c r="B105" s="11" t="s">
        <v>24</v>
      </c>
      <c r="C105" s="12">
        <v>29594</v>
      </c>
      <c r="D105" s="7">
        <f t="shared" ca="1" si="3"/>
        <v>46</v>
      </c>
      <c r="E105" s="12">
        <v>45814</v>
      </c>
      <c r="F105" s="12">
        <v>45829</v>
      </c>
      <c r="G105" s="18">
        <f t="shared" si="4"/>
        <v>15</v>
      </c>
      <c r="H105" s="11" t="s">
        <v>12</v>
      </c>
      <c r="I105" s="11" t="s">
        <v>34</v>
      </c>
      <c r="J105" s="11" t="s">
        <v>13</v>
      </c>
      <c r="K105" s="11" t="s">
        <v>240</v>
      </c>
      <c r="L105" s="16">
        <v>12620.56</v>
      </c>
      <c r="M105" s="11" t="s">
        <v>20</v>
      </c>
      <c r="N105" s="11" t="s">
        <v>18</v>
      </c>
      <c r="O105" s="13" t="s">
        <v>21</v>
      </c>
    </row>
    <row r="106" spans="1:15" x14ac:dyDescent="0.3">
      <c r="A106" s="6" t="s">
        <v>127</v>
      </c>
      <c r="B106" s="7" t="s">
        <v>24</v>
      </c>
      <c r="C106" s="8">
        <v>38483</v>
      </c>
      <c r="D106" s="7">
        <f t="shared" ca="1" si="3"/>
        <v>21</v>
      </c>
      <c r="E106" s="8">
        <v>45887</v>
      </c>
      <c r="F106" s="8">
        <v>45888</v>
      </c>
      <c r="G106" s="18">
        <f t="shared" si="4"/>
        <v>1</v>
      </c>
      <c r="H106" s="7" t="s">
        <v>235</v>
      </c>
      <c r="I106" s="7" t="s">
        <v>233</v>
      </c>
      <c r="J106" s="7" t="s">
        <v>16</v>
      </c>
      <c r="K106" s="7" t="s">
        <v>239</v>
      </c>
      <c r="L106" s="15">
        <v>14639.63</v>
      </c>
      <c r="M106" s="7" t="s">
        <v>20</v>
      </c>
      <c r="N106" s="7" t="s">
        <v>18</v>
      </c>
      <c r="O106" s="9" t="s">
        <v>231</v>
      </c>
    </row>
    <row r="107" spans="1:15" x14ac:dyDescent="0.3">
      <c r="A107" s="10" t="s">
        <v>128</v>
      </c>
      <c r="B107" s="11" t="s">
        <v>11</v>
      </c>
      <c r="C107" s="12">
        <v>23817</v>
      </c>
      <c r="D107" s="7">
        <f t="shared" ca="1" si="3"/>
        <v>62</v>
      </c>
      <c r="E107" s="12">
        <v>46092</v>
      </c>
      <c r="F107" s="12">
        <v>46095</v>
      </c>
      <c r="G107" s="18">
        <f t="shared" si="4"/>
        <v>3</v>
      </c>
      <c r="H107" s="11" t="s">
        <v>232</v>
      </c>
      <c r="I107" s="11" t="s">
        <v>238</v>
      </c>
      <c r="J107" s="11" t="s">
        <v>13</v>
      </c>
      <c r="K107" s="11" t="s">
        <v>240</v>
      </c>
      <c r="L107" s="16">
        <v>33340.18</v>
      </c>
      <c r="M107" s="11" t="s">
        <v>20</v>
      </c>
      <c r="N107" s="11" t="s">
        <v>18</v>
      </c>
      <c r="O107" s="13" t="s">
        <v>231</v>
      </c>
    </row>
    <row r="108" spans="1:15" x14ac:dyDescent="0.3">
      <c r="A108" s="6" t="s">
        <v>129</v>
      </c>
      <c r="B108" s="7" t="s">
        <v>11</v>
      </c>
      <c r="C108" s="8">
        <v>27406</v>
      </c>
      <c r="D108" s="7">
        <f t="shared" ca="1" si="3"/>
        <v>52</v>
      </c>
      <c r="E108" s="8">
        <v>45715</v>
      </c>
      <c r="F108" s="8">
        <v>45731</v>
      </c>
      <c r="G108" s="18">
        <f t="shared" si="4"/>
        <v>16</v>
      </c>
      <c r="H108" s="7" t="s">
        <v>234</v>
      </c>
      <c r="I108" s="7" t="s">
        <v>34</v>
      </c>
      <c r="J108" s="7" t="s">
        <v>16</v>
      </c>
      <c r="K108" s="7" t="s">
        <v>239</v>
      </c>
      <c r="L108" s="15">
        <v>38526.080000000002</v>
      </c>
      <c r="M108" s="7" t="s">
        <v>20</v>
      </c>
      <c r="N108" s="7" t="s">
        <v>18</v>
      </c>
      <c r="O108" s="9" t="s">
        <v>21</v>
      </c>
    </row>
    <row r="109" spans="1:15" x14ac:dyDescent="0.3">
      <c r="A109" s="10" t="s">
        <v>130</v>
      </c>
      <c r="B109" s="11" t="s">
        <v>24</v>
      </c>
      <c r="C109" s="12">
        <v>35096</v>
      </c>
      <c r="D109" s="7">
        <f t="shared" ca="1" si="3"/>
        <v>31</v>
      </c>
      <c r="E109" s="12">
        <v>45556</v>
      </c>
      <c r="F109" s="12">
        <v>45567</v>
      </c>
      <c r="G109" s="18">
        <f t="shared" si="4"/>
        <v>11</v>
      </c>
      <c r="H109" s="11" t="s">
        <v>232</v>
      </c>
      <c r="I109" s="11" t="s">
        <v>228</v>
      </c>
      <c r="J109" s="11" t="s">
        <v>236</v>
      </c>
      <c r="K109" s="11" t="s">
        <v>237</v>
      </c>
      <c r="L109" s="16">
        <v>30706.97</v>
      </c>
      <c r="M109" s="11" t="s">
        <v>14</v>
      </c>
      <c r="N109" s="11" t="s">
        <v>230</v>
      </c>
      <c r="O109" s="13" t="s">
        <v>21</v>
      </c>
    </row>
    <row r="110" spans="1:15" x14ac:dyDescent="0.3">
      <c r="A110" s="6" t="s">
        <v>131</v>
      </c>
      <c r="B110" s="7" t="s">
        <v>11</v>
      </c>
      <c r="C110" s="8">
        <v>23361</v>
      </c>
      <c r="D110" s="7">
        <f t="shared" ca="1" si="3"/>
        <v>63</v>
      </c>
      <c r="E110" s="8">
        <v>45944</v>
      </c>
      <c r="F110" s="8">
        <v>45956</v>
      </c>
      <c r="G110" s="18">
        <f t="shared" si="4"/>
        <v>12</v>
      </c>
      <c r="H110" s="7" t="s">
        <v>12</v>
      </c>
      <c r="I110" s="7" t="s">
        <v>238</v>
      </c>
      <c r="J110" s="7" t="s">
        <v>16</v>
      </c>
      <c r="K110" s="7" t="s">
        <v>239</v>
      </c>
      <c r="L110" s="15">
        <v>36714.550000000003</v>
      </c>
      <c r="M110" s="7" t="s">
        <v>20</v>
      </c>
      <c r="N110" s="7" t="s">
        <v>18</v>
      </c>
      <c r="O110" s="9" t="s">
        <v>21</v>
      </c>
    </row>
    <row r="111" spans="1:15" x14ac:dyDescent="0.3">
      <c r="A111" s="10" t="s">
        <v>132</v>
      </c>
      <c r="B111" s="11" t="s">
        <v>24</v>
      </c>
      <c r="C111" s="12">
        <v>19979</v>
      </c>
      <c r="D111" s="7">
        <f t="shared" ca="1" si="3"/>
        <v>72</v>
      </c>
      <c r="E111" s="12">
        <v>45514</v>
      </c>
      <c r="F111" s="12">
        <v>45524</v>
      </c>
      <c r="G111" s="18">
        <f t="shared" si="4"/>
        <v>10</v>
      </c>
      <c r="H111" s="11" t="s">
        <v>235</v>
      </c>
      <c r="I111" s="11" t="s">
        <v>34</v>
      </c>
      <c r="J111" s="11" t="s">
        <v>13</v>
      </c>
      <c r="K111" s="11" t="s">
        <v>239</v>
      </c>
      <c r="L111" s="16">
        <v>34849.54</v>
      </c>
      <c r="M111" s="11" t="s">
        <v>20</v>
      </c>
      <c r="N111" s="11" t="s">
        <v>18</v>
      </c>
      <c r="O111" s="13" t="s">
        <v>21</v>
      </c>
    </row>
    <row r="112" spans="1:15" x14ac:dyDescent="0.3">
      <c r="A112" s="6" t="s">
        <v>133</v>
      </c>
      <c r="B112" s="7" t="s">
        <v>24</v>
      </c>
      <c r="C112" s="8">
        <v>24719</v>
      </c>
      <c r="D112" s="7">
        <f t="shared" ca="1" si="3"/>
        <v>59</v>
      </c>
      <c r="E112" s="8">
        <v>45651</v>
      </c>
      <c r="F112" s="8">
        <v>45667</v>
      </c>
      <c r="G112" s="18">
        <f t="shared" si="4"/>
        <v>16</v>
      </c>
      <c r="H112" s="7" t="s">
        <v>235</v>
      </c>
      <c r="I112" s="7" t="s">
        <v>228</v>
      </c>
      <c r="J112" s="7" t="s">
        <v>13</v>
      </c>
      <c r="K112" s="7" t="s">
        <v>237</v>
      </c>
      <c r="L112" s="15">
        <v>8012.12</v>
      </c>
      <c r="M112" s="7" t="s">
        <v>14</v>
      </c>
      <c r="N112" s="7" t="s">
        <v>230</v>
      </c>
      <c r="O112" s="9" t="s">
        <v>231</v>
      </c>
    </row>
    <row r="113" spans="1:15" x14ac:dyDescent="0.3">
      <c r="A113" s="10" t="s">
        <v>134</v>
      </c>
      <c r="B113" s="11" t="s">
        <v>24</v>
      </c>
      <c r="C113" s="12">
        <v>21855</v>
      </c>
      <c r="D113" s="7">
        <f t="shared" ca="1" si="3"/>
        <v>67</v>
      </c>
      <c r="E113" s="12">
        <v>45356</v>
      </c>
      <c r="F113" s="12">
        <v>45364</v>
      </c>
      <c r="G113" s="18">
        <f t="shared" si="4"/>
        <v>8</v>
      </c>
      <c r="H113" s="11" t="s">
        <v>12</v>
      </c>
      <c r="I113" s="11" t="s">
        <v>238</v>
      </c>
      <c r="J113" s="11" t="s">
        <v>13</v>
      </c>
      <c r="K113" s="11" t="s">
        <v>239</v>
      </c>
      <c r="L113" s="16">
        <v>19941.599999999999</v>
      </c>
      <c r="M113" s="11" t="s">
        <v>17</v>
      </c>
      <c r="N113" s="11" t="s">
        <v>18</v>
      </c>
      <c r="O113" s="13" t="s">
        <v>231</v>
      </c>
    </row>
    <row r="114" spans="1:15" x14ac:dyDescent="0.3">
      <c r="A114" s="6" t="s">
        <v>135</v>
      </c>
      <c r="B114" s="7" t="s">
        <v>11</v>
      </c>
      <c r="C114" s="8">
        <v>38976</v>
      </c>
      <c r="D114" s="7">
        <f t="shared" ca="1" si="3"/>
        <v>20</v>
      </c>
      <c r="E114" s="8">
        <v>45312</v>
      </c>
      <c r="F114" s="8">
        <v>45318</v>
      </c>
      <c r="G114" s="18">
        <f t="shared" si="4"/>
        <v>6</v>
      </c>
      <c r="H114" s="7" t="s">
        <v>12</v>
      </c>
      <c r="I114" s="7" t="s">
        <v>238</v>
      </c>
      <c r="J114" s="7" t="s">
        <v>236</v>
      </c>
      <c r="K114" s="7" t="s">
        <v>240</v>
      </c>
      <c r="L114" s="15">
        <v>8154.8</v>
      </c>
      <c r="M114" s="7" t="s">
        <v>14</v>
      </c>
      <c r="N114" s="7" t="s">
        <v>230</v>
      </c>
      <c r="O114" s="9" t="s">
        <v>231</v>
      </c>
    </row>
    <row r="115" spans="1:15" x14ac:dyDescent="0.3">
      <c r="A115" s="10" t="s">
        <v>136</v>
      </c>
      <c r="B115" s="11" t="s">
        <v>24</v>
      </c>
      <c r="C115" s="12">
        <v>36268</v>
      </c>
      <c r="D115" s="7">
        <f t="shared" ca="1" si="3"/>
        <v>27</v>
      </c>
      <c r="E115" s="12">
        <v>46081</v>
      </c>
      <c r="F115" s="12">
        <v>46093</v>
      </c>
      <c r="G115" s="18">
        <f t="shared" si="4"/>
        <v>12</v>
      </c>
      <c r="H115" s="11" t="s">
        <v>234</v>
      </c>
      <c r="I115" s="11" t="s">
        <v>34</v>
      </c>
      <c r="J115" s="11" t="s">
        <v>236</v>
      </c>
      <c r="K115" s="11" t="s">
        <v>239</v>
      </c>
      <c r="L115" s="16">
        <v>11732.75</v>
      </c>
      <c r="M115" s="11" t="s">
        <v>17</v>
      </c>
      <c r="N115" s="11" t="s">
        <v>18</v>
      </c>
      <c r="O115" s="13" t="s">
        <v>21</v>
      </c>
    </row>
    <row r="116" spans="1:15" x14ac:dyDescent="0.3">
      <c r="A116" s="6" t="s">
        <v>137</v>
      </c>
      <c r="B116" s="7" t="s">
        <v>24</v>
      </c>
      <c r="C116" s="8">
        <v>32375</v>
      </c>
      <c r="D116" s="7">
        <f t="shared" ca="1" si="3"/>
        <v>38</v>
      </c>
      <c r="E116" s="8">
        <v>45977</v>
      </c>
      <c r="F116" s="8">
        <v>45985</v>
      </c>
      <c r="G116" s="18">
        <f t="shared" si="4"/>
        <v>8</v>
      </c>
      <c r="H116" s="7" t="s">
        <v>235</v>
      </c>
      <c r="I116" s="7" t="s">
        <v>27</v>
      </c>
      <c r="J116" s="7" t="s">
        <v>13</v>
      </c>
      <c r="K116" s="7" t="s">
        <v>237</v>
      </c>
      <c r="L116" s="15">
        <v>39312.79</v>
      </c>
      <c r="M116" s="7" t="s">
        <v>14</v>
      </c>
      <c r="N116" s="7" t="s">
        <v>230</v>
      </c>
      <c r="O116" s="9" t="s">
        <v>21</v>
      </c>
    </row>
    <row r="117" spans="1:15" x14ac:dyDescent="0.3">
      <c r="A117" s="10" t="s">
        <v>138</v>
      </c>
      <c r="B117" s="11" t="s">
        <v>24</v>
      </c>
      <c r="C117" s="12">
        <v>37679</v>
      </c>
      <c r="D117" s="7">
        <f t="shared" ca="1" si="3"/>
        <v>24</v>
      </c>
      <c r="E117" s="12">
        <v>45862</v>
      </c>
      <c r="F117" s="12">
        <v>45866</v>
      </c>
      <c r="G117" s="18">
        <f t="shared" si="4"/>
        <v>4</v>
      </c>
      <c r="H117" s="11" t="s">
        <v>232</v>
      </c>
      <c r="I117" s="11" t="s">
        <v>238</v>
      </c>
      <c r="J117" s="11" t="s">
        <v>16</v>
      </c>
      <c r="K117" s="11" t="s">
        <v>240</v>
      </c>
      <c r="L117" s="16">
        <v>22070.799999999999</v>
      </c>
      <c r="M117" s="11" t="s">
        <v>14</v>
      </c>
      <c r="N117" s="11" t="s">
        <v>230</v>
      </c>
      <c r="O117" s="13" t="s">
        <v>231</v>
      </c>
    </row>
    <row r="118" spans="1:15" x14ac:dyDescent="0.3">
      <c r="A118" s="6" t="s">
        <v>139</v>
      </c>
      <c r="B118" s="7" t="s">
        <v>11</v>
      </c>
      <c r="C118" s="8">
        <v>36169</v>
      </c>
      <c r="D118" s="7">
        <f t="shared" ca="1" si="3"/>
        <v>28</v>
      </c>
      <c r="E118" s="8">
        <v>45627</v>
      </c>
      <c r="F118" s="8">
        <v>45635</v>
      </c>
      <c r="G118" s="18">
        <f t="shared" si="4"/>
        <v>8</v>
      </c>
      <c r="H118" s="7" t="s">
        <v>30</v>
      </c>
      <c r="I118" s="7" t="s">
        <v>238</v>
      </c>
      <c r="J118" s="7" t="s">
        <v>236</v>
      </c>
      <c r="K118" s="7" t="s">
        <v>237</v>
      </c>
      <c r="L118" s="15">
        <v>24788.080000000002</v>
      </c>
      <c r="M118" s="7" t="s">
        <v>20</v>
      </c>
      <c r="N118" s="7" t="s">
        <v>18</v>
      </c>
      <c r="O118" s="9" t="s">
        <v>231</v>
      </c>
    </row>
    <row r="119" spans="1:15" x14ac:dyDescent="0.3">
      <c r="A119" s="10" t="s">
        <v>140</v>
      </c>
      <c r="B119" s="11" t="s">
        <v>11</v>
      </c>
      <c r="C119" s="12">
        <v>22420</v>
      </c>
      <c r="D119" s="7">
        <f t="shared" ca="1" si="3"/>
        <v>65</v>
      </c>
      <c r="E119" s="12">
        <v>45434</v>
      </c>
      <c r="F119" s="12">
        <v>45452</v>
      </c>
      <c r="G119" s="18">
        <f t="shared" si="4"/>
        <v>18</v>
      </c>
      <c r="H119" s="11" t="s">
        <v>30</v>
      </c>
      <c r="I119" s="11" t="s">
        <v>228</v>
      </c>
      <c r="J119" s="11" t="s">
        <v>13</v>
      </c>
      <c r="K119" s="11" t="s">
        <v>237</v>
      </c>
      <c r="L119" s="16">
        <v>9262.4</v>
      </c>
      <c r="M119" s="11" t="s">
        <v>17</v>
      </c>
      <c r="N119" s="11" t="s">
        <v>18</v>
      </c>
      <c r="O119" s="13" t="s">
        <v>231</v>
      </c>
    </row>
    <row r="120" spans="1:15" x14ac:dyDescent="0.3">
      <c r="A120" s="6" t="s">
        <v>141</v>
      </c>
      <c r="B120" s="7" t="s">
        <v>11</v>
      </c>
      <c r="C120" s="8">
        <v>38149</v>
      </c>
      <c r="D120" s="7">
        <f t="shared" ca="1" si="3"/>
        <v>22</v>
      </c>
      <c r="E120" s="8">
        <v>45420</v>
      </c>
      <c r="F120" s="8">
        <v>45425</v>
      </c>
      <c r="G120" s="18">
        <f t="shared" si="4"/>
        <v>5</v>
      </c>
      <c r="H120" s="7" t="s">
        <v>12</v>
      </c>
      <c r="I120" s="7" t="s">
        <v>233</v>
      </c>
      <c r="J120" s="7" t="s">
        <v>13</v>
      </c>
      <c r="K120" s="7" t="s">
        <v>229</v>
      </c>
      <c r="L120" s="15">
        <v>15083.82</v>
      </c>
      <c r="M120" s="7" t="s">
        <v>20</v>
      </c>
      <c r="N120" s="7" t="s">
        <v>18</v>
      </c>
      <c r="O120" s="9" t="s">
        <v>231</v>
      </c>
    </row>
    <row r="121" spans="1:15" x14ac:dyDescent="0.3">
      <c r="A121" s="10" t="s">
        <v>142</v>
      </c>
      <c r="B121" s="11" t="s">
        <v>11</v>
      </c>
      <c r="C121" s="12">
        <v>30280</v>
      </c>
      <c r="D121" s="7">
        <f t="shared" ca="1" si="3"/>
        <v>44</v>
      </c>
      <c r="E121" s="12">
        <v>45497</v>
      </c>
      <c r="F121" s="12">
        <v>45506</v>
      </c>
      <c r="G121" s="18">
        <f t="shared" si="4"/>
        <v>9</v>
      </c>
      <c r="H121" s="11" t="s">
        <v>234</v>
      </c>
      <c r="I121" s="11" t="s">
        <v>34</v>
      </c>
      <c r="J121" s="11" t="s">
        <v>236</v>
      </c>
      <c r="K121" s="11" t="s">
        <v>229</v>
      </c>
      <c r="L121" s="16">
        <v>11515.71</v>
      </c>
      <c r="M121" s="11" t="s">
        <v>17</v>
      </c>
      <c r="N121" s="11" t="s">
        <v>18</v>
      </c>
      <c r="O121" s="13" t="s">
        <v>21</v>
      </c>
    </row>
    <row r="122" spans="1:15" x14ac:dyDescent="0.3">
      <c r="A122" s="6" t="s">
        <v>143</v>
      </c>
      <c r="B122" s="7" t="s">
        <v>11</v>
      </c>
      <c r="C122" s="8">
        <v>36252</v>
      </c>
      <c r="D122" s="7">
        <f t="shared" ca="1" si="3"/>
        <v>27</v>
      </c>
      <c r="E122" s="8">
        <v>45742</v>
      </c>
      <c r="F122" s="8">
        <v>45746</v>
      </c>
      <c r="G122" s="18">
        <f t="shared" si="4"/>
        <v>4</v>
      </c>
      <c r="H122" s="7" t="s">
        <v>30</v>
      </c>
      <c r="I122" s="7" t="s">
        <v>34</v>
      </c>
      <c r="J122" s="7" t="s">
        <v>236</v>
      </c>
      <c r="K122" s="7" t="s">
        <v>237</v>
      </c>
      <c r="L122" s="15">
        <v>10469.1</v>
      </c>
      <c r="M122" s="7" t="s">
        <v>14</v>
      </c>
      <c r="N122" s="7" t="s">
        <v>230</v>
      </c>
      <c r="O122" s="9" t="s">
        <v>231</v>
      </c>
    </row>
    <row r="123" spans="1:15" x14ac:dyDescent="0.3">
      <c r="A123" s="10" t="s">
        <v>144</v>
      </c>
      <c r="B123" s="11" t="s">
        <v>24</v>
      </c>
      <c r="C123" s="12">
        <v>38228</v>
      </c>
      <c r="D123" s="7">
        <f t="shared" ca="1" si="3"/>
        <v>22</v>
      </c>
      <c r="E123" s="12">
        <v>45877</v>
      </c>
      <c r="F123" s="12">
        <v>45894</v>
      </c>
      <c r="G123" s="18">
        <f t="shared" si="4"/>
        <v>17</v>
      </c>
      <c r="H123" s="11" t="s">
        <v>235</v>
      </c>
      <c r="I123" s="11" t="s">
        <v>27</v>
      </c>
      <c r="J123" s="11" t="s">
        <v>236</v>
      </c>
      <c r="K123" s="11" t="s">
        <v>237</v>
      </c>
      <c r="L123" s="16">
        <v>29251.29</v>
      </c>
      <c r="M123" s="11" t="s">
        <v>14</v>
      </c>
      <c r="N123" s="11" t="s">
        <v>230</v>
      </c>
      <c r="O123" s="13" t="s">
        <v>231</v>
      </c>
    </row>
    <row r="124" spans="1:15" x14ac:dyDescent="0.3">
      <c r="A124" s="6" t="s">
        <v>145</v>
      </c>
      <c r="B124" s="7" t="s">
        <v>11</v>
      </c>
      <c r="C124" s="8">
        <v>25348</v>
      </c>
      <c r="D124" s="7">
        <f t="shared" ca="1" si="3"/>
        <v>57</v>
      </c>
      <c r="E124" s="8">
        <v>45833</v>
      </c>
      <c r="F124" s="8">
        <v>45842</v>
      </c>
      <c r="G124" s="18">
        <f t="shared" si="4"/>
        <v>9</v>
      </c>
      <c r="H124" s="7" t="s">
        <v>12</v>
      </c>
      <c r="I124" s="7" t="s">
        <v>27</v>
      </c>
      <c r="J124" s="7" t="s">
        <v>16</v>
      </c>
      <c r="K124" s="7" t="s">
        <v>237</v>
      </c>
      <c r="L124" s="15">
        <v>12674.45</v>
      </c>
      <c r="M124" s="7" t="s">
        <v>17</v>
      </c>
      <c r="N124" s="7" t="s">
        <v>18</v>
      </c>
      <c r="O124" s="9" t="s">
        <v>231</v>
      </c>
    </row>
    <row r="125" spans="1:15" x14ac:dyDescent="0.3">
      <c r="A125" s="10" t="s">
        <v>146</v>
      </c>
      <c r="B125" s="11" t="s">
        <v>11</v>
      </c>
      <c r="C125" s="12">
        <v>20715</v>
      </c>
      <c r="D125" s="7">
        <f t="shared" ca="1" si="3"/>
        <v>70</v>
      </c>
      <c r="E125" s="12">
        <v>45521</v>
      </c>
      <c r="F125" s="12">
        <v>45522</v>
      </c>
      <c r="G125" s="18">
        <f t="shared" si="4"/>
        <v>1</v>
      </c>
      <c r="H125" s="11" t="s">
        <v>232</v>
      </c>
      <c r="I125" s="11" t="s">
        <v>34</v>
      </c>
      <c r="J125" s="11" t="s">
        <v>16</v>
      </c>
      <c r="K125" s="11" t="s">
        <v>229</v>
      </c>
      <c r="L125" s="16">
        <v>28992.67</v>
      </c>
      <c r="M125" s="11" t="s">
        <v>20</v>
      </c>
      <c r="N125" s="11" t="s">
        <v>18</v>
      </c>
      <c r="O125" s="13" t="s">
        <v>231</v>
      </c>
    </row>
    <row r="126" spans="1:15" x14ac:dyDescent="0.3">
      <c r="A126" s="6" t="s">
        <v>147</v>
      </c>
      <c r="B126" s="7" t="s">
        <v>11</v>
      </c>
      <c r="C126" s="8">
        <v>23342</v>
      </c>
      <c r="D126" s="7">
        <f t="shared" ca="1" si="3"/>
        <v>63</v>
      </c>
      <c r="E126" s="8">
        <v>46074</v>
      </c>
      <c r="F126" s="8">
        <v>46094</v>
      </c>
      <c r="G126" s="18">
        <f t="shared" si="4"/>
        <v>20</v>
      </c>
      <c r="H126" s="7" t="s">
        <v>12</v>
      </c>
      <c r="I126" s="7" t="s">
        <v>27</v>
      </c>
      <c r="J126" s="7" t="s">
        <v>13</v>
      </c>
      <c r="K126" s="7" t="s">
        <v>229</v>
      </c>
      <c r="L126" s="15">
        <v>4042.78</v>
      </c>
      <c r="M126" s="7" t="s">
        <v>20</v>
      </c>
      <c r="N126" s="7" t="s">
        <v>18</v>
      </c>
      <c r="O126" s="9" t="s">
        <v>231</v>
      </c>
    </row>
    <row r="127" spans="1:15" x14ac:dyDescent="0.3">
      <c r="A127" s="10" t="s">
        <v>148</v>
      </c>
      <c r="B127" s="11" t="s">
        <v>24</v>
      </c>
      <c r="C127" s="12">
        <v>27779</v>
      </c>
      <c r="D127" s="7">
        <f t="shared" ca="1" si="3"/>
        <v>51</v>
      </c>
      <c r="E127" s="12">
        <v>45897</v>
      </c>
      <c r="F127" s="12">
        <v>45910</v>
      </c>
      <c r="G127" s="18">
        <f t="shared" si="4"/>
        <v>13</v>
      </c>
      <c r="H127" s="11" t="s">
        <v>232</v>
      </c>
      <c r="I127" s="11" t="s">
        <v>228</v>
      </c>
      <c r="J127" s="11" t="s">
        <v>236</v>
      </c>
      <c r="K127" s="11" t="s">
        <v>239</v>
      </c>
      <c r="L127" s="16">
        <v>7667.19</v>
      </c>
      <c r="M127" s="11" t="s">
        <v>20</v>
      </c>
      <c r="N127" s="11" t="s">
        <v>18</v>
      </c>
      <c r="O127" s="13" t="s">
        <v>231</v>
      </c>
    </row>
    <row r="128" spans="1:15" x14ac:dyDescent="0.3">
      <c r="A128" s="6" t="s">
        <v>149</v>
      </c>
      <c r="B128" s="7" t="s">
        <v>11</v>
      </c>
      <c r="C128" s="8">
        <v>36488</v>
      </c>
      <c r="D128" s="7">
        <f t="shared" ca="1" si="3"/>
        <v>27</v>
      </c>
      <c r="E128" s="8">
        <v>45746</v>
      </c>
      <c r="F128" s="8">
        <v>45762</v>
      </c>
      <c r="G128" s="18">
        <f t="shared" si="4"/>
        <v>16</v>
      </c>
      <c r="H128" s="7" t="s">
        <v>12</v>
      </c>
      <c r="I128" s="7" t="s">
        <v>34</v>
      </c>
      <c r="J128" s="7" t="s">
        <v>16</v>
      </c>
      <c r="K128" s="7" t="s">
        <v>239</v>
      </c>
      <c r="L128" s="15">
        <v>13442.5</v>
      </c>
      <c r="M128" s="7" t="s">
        <v>20</v>
      </c>
      <c r="N128" s="7" t="s">
        <v>18</v>
      </c>
      <c r="O128" s="9" t="s">
        <v>231</v>
      </c>
    </row>
    <row r="129" spans="1:15" x14ac:dyDescent="0.3">
      <c r="A129" s="10" t="s">
        <v>150</v>
      </c>
      <c r="B129" s="11" t="s">
        <v>11</v>
      </c>
      <c r="C129" s="12">
        <v>37440</v>
      </c>
      <c r="D129" s="7">
        <f t="shared" ca="1" si="3"/>
        <v>24</v>
      </c>
      <c r="E129" s="12">
        <v>45793</v>
      </c>
      <c r="F129" s="12">
        <v>45806</v>
      </c>
      <c r="G129" s="18">
        <f t="shared" si="4"/>
        <v>13</v>
      </c>
      <c r="H129" s="11" t="s">
        <v>12</v>
      </c>
      <c r="I129" s="11" t="s">
        <v>27</v>
      </c>
      <c r="J129" s="11" t="s">
        <v>236</v>
      </c>
      <c r="K129" s="11" t="s">
        <v>237</v>
      </c>
      <c r="L129" s="16">
        <v>27471.54</v>
      </c>
      <c r="M129" s="11" t="s">
        <v>14</v>
      </c>
      <c r="N129" s="11" t="s">
        <v>230</v>
      </c>
      <c r="O129" s="13" t="s">
        <v>21</v>
      </c>
    </row>
    <row r="130" spans="1:15" x14ac:dyDescent="0.3">
      <c r="A130" s="6" t="s">
        <v>151</v>
      </c>
      <c r="B130" s="7" t="s">
        <v>24</v>
      </c>
      <c r="C130" s="8">
        <v>18418</v>
      </c>
      <c r="D130" s="7">
        <f t="shared" ca="1" si="3"/>
        <v>76</v>
      </c>
      <c r="E130" s="8">
        <v>45636</v>
      </c>
      <c r="F130" s="8">
        <v>45650</v>
      </c>
      <c r="G130" s="18">
        <f t="shared" si="4"/>
        <v>14</v>
      </c>
      <c r="H130" s="7" t="s">
        <v>12</v>
      </c>
      <c r="I130" s="7" t="s">
        <v>34</v>
      </c>
      <c r="J130" s="7" t="s">
        <v>13</v>
      </c>
      <c r="K130" s="7" t="s">
        <v>240</v>
      </c>
      <c r="L130" s="15">
        <v>30899.09</v>
      </c>
      <c r="M130" s="7" t="s">
        <v>14</v>
      </c>
      <c r="N130" s="7" t="s">
        <v>230</v>
      </c>
      <c r="O130" s="9" t="s">
        <v>21</v>
      </c>
    </row>
    <row r="131" spans="1:15" x14ac:dyDescent="0.3">
      <c r="A131" s="10" t="s">
        <v>152</v>
      </c>
      <c r="B131" s="11" t="s">
        <v>11</v>
      </c>
      <c r="C131" s="12">
        <v>29642</v>
      </c>
      <c r="D131" s="7">
        <f t="shared" ref="D131:D194" ca="1" si="5">ROUND((TODAY()-C131)/365,0)</f>
        <v>46</v>
      </c>
      <c r="E131" s="12">
        <v>45495</v>
      </c>
      <c r="F131" s="12">
        <v>45498</v>
      </c>
      <c r="G131" s="18">
        <f t="shared" ref="G131:G194" si="6">F131-E131</f>
        <v>3</v>
      </c>
      <c r="H131" s="11" t="s">
        <v>232</v>
      </c>
      <c r="I131" s="11" t="s">
        <v>233</v>
      </c>
      <c r="J131" s="11" t="s">
        <v>16</v>
      </c>
      <c r="K131" s="11" t="s">
        <v>240</v>
      </c>
      <c r="L131" s="16">
        <v>20758.189999999999</v>
      </c>
      <c r="M131" s="11" t="s">
        <v>14</v>
      </c>
      <c r="N131" s="11" t="s">
        <v>230</v>
      </c>
      <c r="O131" s="13" t="s">
        <v>21</v>
      </c>
    </row>
    <row r="132" spans="1:15" x14ac:dyDescent="0.3">
      <c r="A132" s="6" t="s">
        <v>153</v>
      </c>
      <c r="B132" s="7" t="s">
        <v>24</v>
      </c>
      <c r="C132" s="8">
        <v>27563</v>
      </c>
      <c r="D132" s="7">
        <f t="shared" ca="1" si="5"/>
        <v>51</v>
      </c>
      <c r="E132" s="8">
        <v>45583</v>
      </c>
      <c r="F132" s="8">
        <v>45589</v>
      </c>
      <c r="G132" s="18">
        <f t="shared" si="6"/>
        <v>6</v>
      </c>
      <c r="H132" s="7" t="s">
        <v>232</v>
      </c>
      <c r="I132" s="7" t="s">
        <v>238</v>
      </c>
      <c r="J132" s="7" t="s">
        <v>16</v>
      </c>
      <c r="K132" s="7" t="s">
        <v>229</v>
      </c>
      <c r="L132" s="15">
        <v>20891.900000000001</v>
      </c>
      <c r="M132" s="7" t="s">
        <v>14</v>
      </c>
      <c r="N132" s="7" t="s">
        <v>230</v>
      </c>
      <c r="O132" s="9" t="s">
        <v>21</v>
      </c>
    </row>
    <row r="133" spans="1:15" x14ac:dyDescent="0.3">
      <c r="A133" s="10" t="s">
        <v>154</v>
      </c>
      <c r="B133" s="11" t="s">
        <v>24</v>
      </c>
      <c r="C133" s="12">
        <v>23212</v>
      </c>
      <c r="D133" s="7">
        <f t="shared" ca="1" si="5"/>
        <v>63</v>
      </c>
      <c r="E133" s="12">
        <v>45913</v>
      </c>
      <c r="F133" s="12">
        <v>45931</v>
      </c>
      <c r="G133" s="18">
        <f t="shared" si="6"/>
        <v>18</v>
      </c>
      <c r="H133" s="11" t="s">
        <v>12</v>
      </c>
      <c r="I133" s="11" t="s">
        <v>34</v>
      </c>
      <c r="J133" s="11" t="s">
        <v>16</v>
      </c>
      <c r="K133" s="11" t="s">
        <v>229</v>
      </c>
      <c r="L133" s="16">
        <v>33016.480000000003</v>
      </c>
      <c r="M133" s="11" t="s">
        <v>14</v>
      </c>
      <c r="N133" s="11" t="s">
        <v>230</v>
      </c>
      <c r="O133" s="13" t="s">
        <v>231</v>
      </c>
    </row>
    <row r="134" spans="1:15" x14ac:dyDescent="0.3">
      <c r="A134" s="6" t="s">
        <v>155</v>
      </c>
      <c r="B134" s="7" t="s">
        <v>24</v>
      </c>
      <c r="C134" s="8">
        <v>20934</v>
      </c>
      <c r="D134" s="7">
        <f t="shared" ca="1" si="5"/>
        <v>69</v>
      </c>
      <c r="E134" s="8">
        <v>45303</v>
      </c>
      <c r="F134" s="8">
        <v>45322</v>
      </c>
      <c r="G134" s="18">
        <f t="shared" si="6"/>
        <v>19</v>
      </c>
      <c r="H134" s="7" t="s">
        <v>30</v>
      </c>
      <c r="I134" s="7" t="s">
        <v>238</v>
      </c>
      <c r="J134" s="7" t="s">
        <v>13</v>
      </c>
      <c r="K134" s="7" t="s">
        <v>229</v>
      </c>
      <c r="L134" s="15">
        <v>2188.2199999999998</v>
      </c>
      <c r="M134" s="7" t="s">
        <v>20</v>
      </c>
      <c r="N134" s="7" t="s">
        <v>18</v>
      </c>
      <c r="O134" s="9" t="s">
        <v>21</v>
      </c>
    </row>
    <row r="135" spans="1:15" x14ac:dyDescent="0.3">
      <c r="A135" s="10" t="s">
        <v>156</v>
      </c>
      <c r="B135" s="11" t="s">
        <v>24</v>
      </c>
      <c r="C135" s="12">
        <v>25785</v>
      </c>
      <c r="D135" s="7">
        <f t="shared" ca="1" si="5"/>
        <v>56</v>
      </c>
      <c r="E135" s="12">
        <v>45387</v>
      </c>
      <c r="F135" s="12">
        <v>45392</v>
      </c>
      <c r="G135" s="18">
        <f t="shared" si="6"/>
        <v>5</v>
      </c>
      <c r="H135" s="11" t="s">
        <v>234</v>
      </c>
      <c r="I135" s="11" t="s">
        <v>27</v>
      </c>
      <c r="J135" s="11" t="s">
        <v>236</v>
      </c>
      <c r="K135" s="11" t="s">
        <v>237</v>
      </c>
      <c r="L135" s="16">
        <v>16337.42</v>
      </c>
      <c r="M135" s="11" t="s">
        <v>20</v>
      </c>
      <c r="N135" s="11" t="s">
        <v>18</v>
      </c>
      <c r="O135" s="13" t="s">
        <v>21</v>
      </c>
    </row>
    <row r="136" spans="1:15" x14ac:dyDescent="0.3">
      <c r="A136" s="6" t="s">
        <v>157</v>
      </c>
      <c r="B136" s="7" t="s">
        <v>24</v>
      </c>
      <c r="C136" s="8">
        <v>39271</v>
      </c>
      <c r="D136" s="7">
        <f t="shared" ca="1" si="5"/>
        <v>19</v>
      </c>
      <c r="E136" s="8">
        <v>45329</v>
      </c>
      <c r="F136" s="8">
        <v>45344</v>
      </c>
      <c r="G136" s="18">
        <f t="shared" si="6"/>
        <v>15</v>
      </c>
      <c r="H136" s="7" t="s">
        <v>234</v>
      </c>
      <c r="I136" s="7" t="s">
        <v>238</v>
      </c>
      <c r="J136" s="7" t="s">
        <v>16</v>
      </c>
      <c r="K136" s="7" t="s">
        <v>240</v>
      </c>
      <c r="L136" s="15">
        <v>37113.760000000002</v>
      </c>
      <c r="M136" s="7" t="s">
        <v>20</v>
      </c>
      <c r="N136" s="7" t="s">
        <v>18</v>
      </c>
      <c r="O136" s="9" t="s">
        <v>231</v>
      </c>
    </row>
    <row r="137" spans="1:15" x14ac:dyDescent="0.3">
      <c r="A137" s="10" t="s">
        <v>158</v>
      </c>
      <c r="B137" s="11" t="s">
        <v>11</v>
      </c>
      <c r="C137" s="12">
        <v>25464</v>
      </c>
      <c r="D137" s="7">
        <f t="shared" ca="1" si="5"/>
        <v>57</v>
      </c>
      <c r="E137" s="12">
        <v>45325</v>
      </c>
      <c r="F137" s="12">
        <v>45327</v>
      </c>
      <c r="G137" s="18">
        <f t="shared" si="6"/>
        <v>2</v>
      </c>
      <c r="H137" s="11" t="s">
        <v>234</v>
      </c>
      <c r="I137" s="11" t="s">
        <v>34</v>
      </c>
      <c r="J137" s="11" t="s">
        <v>13</v>
      </c>
      <c r="K137" s="11" t="s">
        <v>239</v>
      </c>
      <c r="L137" s="16">
        <v>27740.04</v>
      </c>
      <c r="M137" s="11" t="s">
        <v>20</v>
      </c>
      <c r="N137" s="11" t="s">
        <v>18</v>
      </c>
      <c r="O137" s="13" t="s">
        <v>231</v>
      </c>
    </row>
    <row r="138" spans="1:15" x14ac:dyDescent="0.3">
      <c r="A138" s="6" t="s">
        <v>159</v>
      </c>
      <c r="B138" s="7" t="s">
        <v>24</v>
      </c>
      <c r="C138" s="8">
        <v>29822</v>
      </c>
      <c r="D138" s="7">
        <f t="shared" ca="1" si="5"/>
        <v>45</v>
      </c>
      <c r="E138" s="8">
        <v>45993</v>
      </c>
      <c r="F138" s="8">
        <v>46003</v>
      </c>
      <c r="G138" s="18">
        <f t="shared" si="6"/>
        <v>10</v>
      </c>
      <c r="H138" s="7" t="s">
        <v>232</v>
      </c>
      <c r="I138" s="7" t="s">
        <v>233</v>
      </c>
      <c r="J138" s="7" t="s">
        <v>236</v>
      </c>
      <c r="K138" s="7" t="s">
        <v>237</v>
      </c>
      <c r="L138" s="15">
        <v>16169.38</v>
      </c>
      <c r="M138" s="7" t="s">
        <v>14</v>
      </c>
      <c r="N138" s="7" t="s">
        <v>230</v>
      </c>
      <c r="O138" s="9" t="s">
        <v>21</v>
      </c>
    </row>
    <row r="139" spans="1:15" x14ac:dyDescent="0.3">
      <c r="A139" s="10" t="s">
        <v>160</v>
      </c>
      <c r="B139" s="11" t="s">
        <v>24</v>
      </c>
      <c r="C139" s="12">
        <v>33926</v>
      </c>
      <c r="D139" s="7">
        <f t="shared" ca="1" si="5"/>
        <v>34</v>
      </c>
      <c r="E139" s="12">
        <v>45868</v>
      </c>
      <c r="F139" s="12">
        <v>45886</v>
      </c>
      <c r="G139" s="18">
        <f t="shared" si="6"/>
        <v>18</v>
      </c>
      <c r="H139" s="11" t="s">
        <v>232</v>
      </c>
      <c r="I139" s="11" t="s">
        <v>27</v>
      </c>
      <c r="J139" s="11" t="s">
        <v>13</v>
      </c>
      <c r="K139" s="11" t="s">
        <v>239</v>
      </c>
      <c r="L139" s="16">
        <v>40890.33</v>
      </c>
      <c r="M139" s="11" t="s">
        <v>14</v>
      </c>
      <c r="N139" s="11" t="s">
        <v>230</v>
      </c>
      <c r="O139" s="13" t="s">
        <v>21</v>
      </c>
    </row>
    <row r="140" spans="1:15" x14ac:dyDescent="0.3">
      <c r="A140" s="6" t="s">
        <v>161</v>
      </c>
      <c r="B140" s="7" t="s">
        <v>11</v>
      </c>
      <c r="C140" s="8">
        <v>26365</v>
      </c>
      <c r="D140" s="7">
        <f t="shared" ca="1" si="5"/>
        <v>55</v>
      </c>
      <c r="E140" s="8">
        <v>45680</v>
      </c>
      <c r="F140" s="8">
        <v>45693</v>
      </c>
      <c r="G140" s="18">
        <f t="shared" si="6"/>
        <v>13</v>
      </c>
      <c r="H140" s="7" t="s">
        <v>30</v>
      </c>
      <c r="I140" s="7" t="s">
        <v>34</v>
      </c>
      <c r="J140" s="7" t="s">
        <v>236</v>
      </c>
      <c r="K140" s="7" t="s">
        <v>239</v>
      </c>
      <c r="L140" s="15">
        <v>35109.089999999997</v>
      </c>
      <c r="M140" s="7" t="s">
        <v>14</v>
      </c>
      <c r="N140" s="7" t="s">
        <v>230</v>
      </c>
      <c r="O140" s="9" t="s">
        <v>231</v>
      </c>
    </row>
    <row r="141" spans="1:15" x14ac:dyDescent="0.3">
      <c r="A141" s="10" t="s">
        <v>162</v>
      </c>
      <c r="B141" s="11" t="s">
        <v>24</v>
      </c>
      <c r="C141" s="12">
        <v>39914</v>
      </c>
      <c r="D141" s="7">
        <f t="shared" ca="1" si="5"/>
        <v>17</v>
      </c>
      <c r="E141" s="12">
        <v>45372</v>
      </c>
      <c r="F141" s="12">
        <v>45377</v>
      </c>
      <c r="G141" s="18">
        <f t="shared" si="6"/>
        <v>5</v>
      </c>
      <c r="H141" s="11" t="s">
        <v>234</v>
      </c>
      <c r="I141" s="11" t="s">
        <v>27</v>
      </c>
      <c r="J141" s="11" t="s">
        <v>13</v>
      </c>
      <c r="K141" s="11" t="s">
        <v>237</v>
      </c>
      <c r="L141" s="16">
        <v>13022.95</v>
      </c>
      <c r="M141" s="11" t="s">
        <v>17</v>
      </c>
      <c r="N141" s="11" t="s">
        <v>18</v>
      </c>
      <c r="O141" s="13" t="s">
        <v>21</v>
      </c>
    </row>
    <row r="142" spans="1:15" x14ac:dyDescent="0.3">
      <c r="A142" s="6" t="s">
        <v>163</v>
      </c>
      <c r="B142" s="7" t="s">
        <v>11</v>
      </c>
      <c r="C142" s="8">
        <v>39706</v>
      </c>
      <c r="D142" s="7">
        <f t="shared" ca="1" si="5"/>
        <v>18</v>
      </c>
      <c r="E142" s="8">
        <v>45695</v>
      </c>
      <c r="F142" s="8">
        <v>45696</v>
      </c>
      <c r="G142" s="18">
        <f t="shared" si="6"/>
        <v>1</v>
      </c>
      <c r="H142" s="7" t="s">
        <v>234</v>
      </c>
      <c r="I142" s="7" t="s">
        <v>228</v>
      </c>
      <c r="J142" s="7" t="s">
        <v>236</v>
      </c>
      <c r="K142" s="7" t="s">
        <v>239</v>
      </c>
      <c r="L142" s="15">
        <v>29570.11</v>
      </c>
      <c r="M142" s="7" t="s">
        <v>20</v>
      </c>
      <c r="N142" s="7" t="s">
        <v>18</v>
      </c>
      <c r="O142" s="9" t="s">
        <v>231</v>
      </c>
    </row>
    <row r="143" spans="1:15" x14ac:dyDescent="0.3">
      <c r="A143" s="10" t="s">
        <v>164</v>
      </c>
      <c r="B143" s="11" t="s">
        <v>11</v>
      </c>
      <c r="C143" s="12">
        <v>23873</v>
      </c>
      <c r="D143" s="7">
        <f t="shared" ca="1" si="5"/>
        <v>61</v>
      </c>
      <c r="E143" s="12">
        <v>45680</v>
      </c>
      <c r="F143" s="12">
        <v>45681</v>
      </c>
      <c r="G143" s="18">
        <f t="shared" si="6"/>
        <v>1</v>
      </c>
      <c r="H143" s="11" t="s">
        <v>12</v>
      </c>
      <c r="I143" s="11" t="s">
        <v>238</v>
      </c>
      <c r="J143" s="11" t="s">
        <v>16</v>
      </c>
      <c r="K143" s="11" t="s">
        <v>240</v>
      </c>
      <c r="L143" s="16">
        <v>27415.16</v>
      </c>
      <c r="M143" s="11" t="s">
        <v>20</v>
      </c>
      <c r="N143" s="11" t="s">
        <v>18</v>
      </c>
      <c r="O143" s="13" t="s">
        <v>231</v>
      </c>
    </row>
    <row r="144" spans="1:15" x14ac:dyDescent="0.3">
      <c r="A144" s="6" t="s">
        <v>165</v>
      </c>
      <c r="B144" s="7" t="s">
        <v>11</v>
      </c>
      <c r="C144" s="8">
        <v>29342</v>
      </c>
      <c r="D144" s="7">
        <f t="shared" ca="1" si="5"/>
        <v>46</v>
      </c>
      <c r="E144" s="8">
        <v>45434</v>
      </c>
      <c r="F144" s="8">
        <v>45452</v>
      </c>
      <c r="G144" s="18">
        <f t="shared" si="6"/>
        <v>18</v>
      </c>
      <c r="H144" s="7" t="s">
        <v>232</v>
      </c>
      <c r="I144" s="7" t="s">
        <v>228</v>
      </c>
      <c r="J144" s="7" t="s">
        <v>236</v>
      </c>
      <c r="K144" s="7" t="s">
        <v>239</v>
      </c>
      <c r="L144" s="15">
        <v>18951.669999999998</v>
      </c>
      <c r="M144" s="7" t="s">
        <v>14</v>
      </c>
      <c r="N144" s="7" t="s">
        <v>230</v>
      </c>
      <c r="O144" s="9" t="s">
        <v>231</v>
      </c>
    </row>
    <row r="145" spans="1:15" x14ac:dyDescent="0.3">
      <c r="A145" s="10" t="s">
        <v>166</v>
      </c>
      <c r="B145" s="11" t="s">
        <v>24</v>
      </c>
      <c r="C145" s="12">
        <v>24967</v>
      </c>
      <c r="D145" s="7">
        <f t="shared" ca="1" si="5"/>
        <v>58</v>
      </c>
      <c r="E145" s="12">
        <v>45647</v>
      </c>
      <c r="F145" s="12">
        <v>45662</v>
      </c>
      <c r="G145" s="18">
        <f t="shared" si="6"/>
        <v>15</v>
      </c>
      <c r="H145" s="11" t="s">
        <v>234</v>
      </c>
      <c r="I145" s="11" t="s">
        <v>34</v>
      </c>
      <c r="J145" s="11" t="s">
        <v>13</v>
      </c>
      <c r="K145" s="11" t="s">
        <v>240</v>
      </c>
      <c r="L145" s="16">
        <v>17462.59</v>
      </c>
      <c r="M145" s="11" t="s">
        <v>20</v>
      </c>
      <c r="N145" s="11" t="s">
        <v>18</v>
      </c>
      <c r="O145" s="13" t="s">
        <v>231</v>
      </c>
    </row>
    <row r="146" spans="1:15" x14ac:dyDescent="0.3">
      <c r="A146" s="6" t="s">
        <v>167</v>
      </c>
      <c r="B146" s="7" t="s">
        <v>24</v>
      </c>
      <c r="C146" s="8">
        <v>24609</v>
      </c>
      <c r="D146" s="7">
        <f t="shared" ca="1" si="5"/>
        <v>59</v>
      </c>
      <c r="E146" s="8">
        <v>45618</v>
      </c>
      <c r="F146" s="8">
        <v>45635</v>
      </c>
      <c r="G146" s="18">
        <f t="shared" si="6"/>
        <v>17</v>
      </c>
      <c r="H146" s="7" t="s">
        <v>30</v>
      </c>
      <c r="I146" s="7" t="s">
        <v>233</v>
      </c>
      <c r="J146" s="7" t="s">
        <v>13</v>
      </c>
      <c r="K146" s="7" t="s">
        <v>240</v>
      </c>
      <c r="L146" s="15">
        <v>16444.88</v>
      </c>
      <c r="M146" s="7" t="s">
        <v>20</v>
      </c>
      <c r="N146" s="7" t="s">
        <v>18</v>
      </c>
      <c r="O146" s="9" t="s">
        <v>21</v>
      </c>
    </row>
    <row r="147" spans="1:15" x14ac:dyDescent="0.3">
      <c r="A147" s="10" t="s">
        <v>168</v>
      </c>
      <c r="B147" s="11" t="s">
        <v>24</v>
      </c>
      <c r="C147" s="12">
        <v>19085</v>
      </c>
      <c r="D147" s="7">
        <f t="shared" ca="1" si="5"/>
        <v>75</v>
      </c>
      <c r="E147" s="12">
        <v>45796</v>
      </c>
      <c r="F147" s="12">
        <v>45807</v>
      </c>
      <c r="G147" s="18">
        <f t="shared" si="6"/>
        <v>11</v>
      </c>
      <c r="H147" s="11" t="s">
        <v>30</v>
      </c>
      <c r="I147" s="11" t="s">
        <v>27</v>
      </c>
      <c r="J147" s="11" t="s">
        <v>236</v>
      </c>
      <c r="K147" s="11" t="s">
        <v>240</v>
      </c>
      <c r="L147" s="16">
        <v>28346.28</v>
      </c>
      <c r="M147" s="11" t="s">
        <v>14</v>
      </c>
      <c r="N147" s="11" t="s">
        <v>230</v>
      </c>
      <c r="O147" s="13" t="s">
        <v>231</v>
      </c>
    </row>
    <row r="148" spans="1:15" x14ac:dyDescent="0.3">
      <c r="A148" s="6" t="s">
        <v>169</v>
      </c>
      <c r="B148" s="7" t="s">
        <v>11</v>
      </c>
      <c r="C148" s="8">
        <v>31844</v>
      </c>
      <c r="D148" s="7">
        <f t="shared" ca="1" si="5"/>
        <v>40</v>
      </c>
      <c r="E148" s="8">
        <v>45812</v>
      </c>
      <c r="F148" s="8">
        <v>45829</v>
      </c>
      <c r="G148" s="18">
        <f t="shared" si="6"/>
        <v>17</v>
      </c>
      <c r="H148" s="7" t="s">
        <v>234</v>
      </c>
      <c r="I148" s="7" t="s">
        <v>238</v>
      </c>
      <c r="J148" s="7" t="s">
        <v>16</v>
      </c>
      <c r="K148" s="7" t="s">
        <v>229</v>
      </c>
      <c r="L148" s="15">
        <v>20744.830000000002</v>
      </c>
      <c r="M148" s="7" t="s">
        <v>17</v>
      </c>
      <c r="N148" s="7" t="s">
        <v>18</v>
      </c>
      <c r="O148" s="9" t="s">
        <v>231</v>
      </c>
    </row>
    <row r="149" spans="1:15" x14ac:dyDescent="0.3">
      <c r="A149" s="10" t="s">
        <v>170</v>
      </c>
      <c r="B149" s="11" t="s">
        <v>24</v>
      </c>
      <c r="C149" s="12">
        <v>29463</v>
      </c>
      <c r="D149" s="7">
        <f t="shared" ca="1" si="5"/>
        <v>46</v>
      </c>
      <c r="E149" s="12">
        <v>45329</v>
      </c>
      <c r="F149" s="12">
        <v>45342</v>
      </c>
      <c r="G149" s="18">
        <f t="shared" si="6"/>
        <v>13</v>
      </c>
      <c r="H149" s="11" t="s">
        <v>232</v>
      </c>
      <c r="I149" s="11" t="s">
        <v>27</v>
      </c>
      <c r="J149" s="11" t="s">
        <v>16</v>
      </c>
      <c r="K149" s="11" t="s">
        <v>239</v>
      </c>
      <c r="L149" s="16">
        <v>37686.050000000003</v>
      </c>
      <c r="M149" s="11" t="s">
        <v>17</v>
      </c>
      <c r="N149" s="11" t="s">
        <v>18</v>
      </c>
      <c r="O149" s="13" t="s">
        <v>21</v>
      </c>
    </row>
    <row r="150" spans="1:15" x14ac:dyDescent="0.3">
      <c r="A150" s="6" t="s">
        <v>171</v>
      </c>
      <c r="B150" s="7" t="s">
        <v>24</v>
      </c>
      <c r="C150" s="8">
        <v>19410</v>
      </c>
      <c r="D150" s="7">
        <f t="shared" ca="1" si="5"/>
        <v>74</v>
      </c>
      <c r="E150" s="8">
        <v>45599</v>
      </c>
      <c r="F150" s="8">
        <v>45600</v>
      </c>
      <c r="G150" s="18">
        <f t="shared" si="6"/>
        <v>1</v>
      </c>
      <c r="H150" s="7" t="s">
        <v>30</v>
      </c>
      <c r="I150" s="7" t="s">
        <v>34</v>
      </c>
      <c r="J150" s="7" t="s">
        <v>236</v>
      </c>
      <c r="K150" s="7" t="s">
        <v>237</v>
      </c>
      <c r="L150" s="15">
        <v>30627.71</v>
      </c>
      <c r="M150" s="7" t="s">
        <v>17</v>
      </c>
      <c r="N150" s="7" t="s">
        <v>18</v>
      </c>
      <c r="O150" s="9" t="s">
        <v>231</v>
      </c>
    </row>
    <row r="151" spans="1:15" x14ac:dyDescent="0.3">
      <c r="A151" s="10" t="s">
        <v>172</v>
      </c>
      <c r="B151" s="11" t="s">
        <v>24</v>
      </c>
      <c r="C151" s="12">
        <v>24471</v>
      </c>
      <c r="D151" s="7">
        <f t="shared" ca="1" si="5"/>
        <v>60</v>
      </c>
      <c r="E151" s="12">
        <v>45805</v>
      </c>
      <c r="F151" s="12">
        <v>45807</v>
      </c>
      <c r="G151" s="18">
        <f t="shared" si="6"/>
        <v>2</v>
      </c>
      <c r="H151" s="11" t="s">
        <v>12</v>
      </c>
      <c r="I151" s="11" t="s">
        <v>27</v>
      </c>
      <c r="J151" s="11" t="s">
        <v>236</v>
      </c>
      <c r="K151" s="11" t="s">
        <v>237</v>
      </c>
      <c r="L151" s="16">
        <v>4542.0200000000004</v>
      </c>
      <c r="M151" s="11" t="s">
        <v>14</v>
      </c>
      <c r="N151" s="11" t="s">
        <v>230</v>
      </c>
      <c r="O151" s="13" t="s">
        <v>21</v>
      </c>
    </row>
    <row r="152" spans="1:15" x14ac:dyDescent="0.3">
      <c r="A152" s="6" t="s">
        <v>173</v>
      </c>
      <c r="B152" s="7" t="s">
        <v>11</v>
      </c>
      <c r="C152" s="8">
        <v>38499</v>
      </c>
      <c r="D152" s="7">
        <f t="shared" ca="1" si="5"/>
        <v>21</v>
      </c>
      <c r="E152" s="8">
        <v>45704</v>
      </c>
      <c r="F152" s="8">
        <v>45713</v>
      </c>
      <c r="G152" s="18">
        <f t="shared" si="6"/>
        <v>9</v>
      </c>
      <c r="H152" s="7" t="s">
        <v>30</v>
      </c>
      <c r="I152" s="7" t="s">
        <v>238</v>
      </c>
      <c r="J152" s="7" t="s">
        <v>13</v>
      </c>
      <c r="K152" s="7" t="s">
        <v>239</v>
      </c>
      <c r="L152" s="15">
        <v>29347.32</v>
      </c>
      <c r="M152" s="7" t="s">
        <v>20</v>
      </c>
      <c r="N152" s="7" t="s">
        <v>18</v>
      </c>
      <c r="O152" s="9" t="s">
        <v>21</v>
      </c>
    </row>
    <row r="153" spans="1:15" x14ac:dyDescent="0.3">
      <c r="A153" s="10" t="s">
        <v>174</v>
      </c>
      <c r="B153" s="11" t="s">
        <v>11</v>
      </c>
      <c r="C153" s="12">
        <v>23601</v>
      </c>
      <c r="D153" s="7">
        <f t="shared" ca="1" si="5"/>
        <v>62</v>
      </c>
      <c r="E153" s="12">
        <v>45994</v>
      </c>
      <c r="F153" s="12">
        <v>45997</v>
      </c>
      <c r="G153" s="18">
        <f t="shared" si="6"/>
        <v>3</v>
      </c>
      <c r="H153" s="11" t="s">
        <v>235</v>
      </c>
      <c r="I153" s="11" t="s">
        <v>34</v>
      </c>
      <c r="J153" s="11" t="s">
        <v>16</v>
      </c>
      <c r="K153" s="11" t="s">
        <v>229</v>
      </c>
      <c r="L153" s="16">
        <v>13294.91</v>
      </c>
      <c r="M153" s="11" t="s">
        <v>14</v>
      </c>
      <c r="N153" s="11" t="s">
        <v>230</v>
      </c>
      <c r="O153" s="13" t="s">
        <v>21</v>
      </c>
    </row>
    <row r="154" spans="1:15" x14ac:dyDescent="0.3">
      <c r="A154" s="6" t="s">
        <v>175</v>
      </c>
      <c r="B154" s="7" t="s">
        <v>24</v>
      </c>
      <c r="C154" s="8">
        <v>21492</v>
      </c>
      <c r="D154" s="7">
        <f t="shared" ca="1" si="5"/>
        <v>68</v>
      </c>
      <c r="E154" s="8">
        <v>45832</v>
      </c>
      <c r="F154" s="8">
        <v>45833</v>
      </c>
      <c r="G154" s="18">
        <f t="shared" si="6"/>
        <v>1</v>
      </c>
      <c r="H154" s="7" t="s">
        <v>235</v>
      </c>
      <c r="I154" s="7" t="s">
        <v>27</v>
      </c>
      <c r="J154" s="7" t="s">
        <v>236</v>
      </c>
      <c r="K154" s="7" t="s">
        <v>229</v>
      </c>
      <c r="L154" s="15">
        <v>27287.32</v>
      </c>
      <c r="M154" s="7" t="s">
        <v>14</v>
      </c>
      <c r="N154" s="7" t="s">
        <v>230</v>
      </c>
      <c r="O154" s="9" t="s">
        <v>231</v>
      </c>
    </row>
    <row r="155" spans="1:15" x14ac:dyDescent="0.3">
      <c r="A155" s="10" t="s">
        <v>176</v>
      </c>
      <c r="B155" s="11" t="s">
        <v>24</v>
      </c>
      <c r="C155" s="12">
        <v>29168</v>
      </c>
      <c r="D155" s="7">
        <f t="shared" ca="1" si="5"/>
        <v>47</v>
      </c>
      <c r="E155" s="12">
        <v>45425</v>
      </c>
      <c r="F155" s="12">
        <v>45441</v>
      </c>
      <c r="G155" s="18">
        <f t="shared" si="6"/>
        <v>16</v>
      </c>
      <c r="H155" s="11" t="s">
        <v>232</v>
      </c>
      <c r="I155" s="11" t="s">
        <v>233</v>
      </c>
      <c r="J155" s="11" t="s">
        <v>16</v>
      </c>
      <c r="K155" s="11" t="s">
        <v>240</v>
      </c>
      <c r="L155" s="16">
        <v>31085.74</v>
      </c>
      <c r="M155" s="11" t="s">
        <v>20</v>
      </c>
      <c r="N155" s="11" t="s">
        <v>18</v>
      </c>
      <c r="O155" s="13" t="s">
        <v>21</v>
      </c>
    </row>
    <row r="156" spans="1:15" x14ac:dyDescent="0.3">
      <c r="A156" s="6" t="s">
        <v>177</v>
      </c>
      <c r="B156" s="7" t="s">
        <v>24</v>
      </c>
      <c r="C156" s="8">
        <v>40223</v>
      </c>
      <c r="D156" s="7">
        <f t="shared" ca="1" si="5"/>
        <v>17</v>
      </c>
      <c r="E156" s="8">
        <v>45349</v>
      </c>
      <c r="F156" s="8">
        <v>45355</v>
      </c>
      <c r="G156" s="18">
        <f t="shared" si="6"/>
        <v>6</v>
      </c>
      <c r="H156" s="7" t="s">
        <v>234</v>
      </c>
      <c r="I156" s="7" t="s">
        <v>34</v>
      </c>
      <c r="J156" s="7" t="s">
        <v>236</v>
      </c>
      <c r="K156" s="7" t="s">
        <v>239</v>
      </c>
      <c r="L156" s="15">
        <v>11541.07</v>
      </c>
      <c r="M156" s="7" t="s">
        <v>17</v>
      </c>
      <c r="N156" s="7" t="s">
        <v>18</v>
      </c>
      <c r="O156" s="9" t="s">
        <v>21</v>
      </c>
    </row>
    <row r="157" spans="1:15" x14ac:dyDescent="0.3">
      <c r="A157" s="10" t="s">
        <v>178</v>
      </c>
      <c r="B157" s="11" t="s">
        <v>24</v>
      </c>
      <c r="C157" s="12">
        <v>23656</v>
      </c>
      <c r="D157" s="7">
        <f t="shared" ca="1" si="5"/>
        <v>62</v>
      </c>
      <c r="E157" s="12">
        <v>45818</v>
      </c>
      <c r="F157" s="12">
        <v>45835</v>
      </c>
      <c r="G157" s="18">
        <f t="shared" si="6"/>
        <v>17</v>
      </c>
      <c r="H157" s="11" t="s">
        <v>232</v>
      </c>
      <c r="I157" s="11" t="s">
        <v>34</v>
      </c>
      <c r="J157" s="11" t="s">
        <v>236</v>
      </c>
      <c r="K157" s="11" t="s">
        <v>239</v>
      </c>
      <c r="L157" s="16">
        <v>21373.35</v>
      </c>
      <c r="M157" s="11" t="s">
        <v>17</v>
      </c>
      <c r="N157" s="11" t="s">
        <v>18</v>
      </c>
      <c r="O157" s="13" t="s">
        <v>231</v>
      </c>
    </row>
    <row r="158" spans="1:15" x14ac:dyDescent="0.3">
      <c r="A158" s="6" t="s">
        <v>179</v>
      </c>
      <c r="B158" s="7" t="s">
        <v>11</v>
      </c>
      <c r="C158" s="8">
        <v>33238</v>
      </c>
      <c r="D158" s="7">
        <f t="shared" ca="1" si="5"/>
        <v>36</v>
      </c>
      <c r="E158" s="8">
        <v>45313</v>
      </c>
      <c r="F158" s="8">
        <v>45318</v>
      </c>
      <c r="G158" s="18">
        <f t="shared" si="6"/>
        <v>5</v>
      </c>
      <c r="H158" s="7" t="s">
        <v>232</v>
      </c>
      <c r="I158" s="7" t="s">
        <v>233</v>
      </c>
      <c r="J158" s="7" t="s">
        <v>16</v>
      </c>
      <c r="K158" s="7" t="s">
        <v>237</v>
      </c>
      <c r="L158" s="15">
        <v>9779.1299999999992</v>
      </c>
      <c r="M158" s="7" t="s">
        <v>14</v>
      </c>
      <c r="N158" s="7" t="s">
        <v>230</v>
      </c>
      <c r="O158" s="9" t="s">
        <v>21</v>
      </c>
    </row>
    <row r="159" spans="1:15" x14ac:dyDescent="0.3">
      <c r="A159" s="10" t="s">
        <v>180</v>
      </c>
      <c r="B159" s="11" t="s">
        <v>11</v>
      </c>
      <c r="C159" s="12">
        <v>35232</v>
      </c>
      <c r="D159" s="7">
        <f t="shared" ca="1" si="5"/>
        <v>30</v>
      </c>
      <c r="E159" s="12">
        <v>45772</v>
      </c>
      <c r="F159" s="12">
        <v>45777</v>
      </c>
      <c r="G159" s="18">
        <f t="shared" si="6"/>
        <v>5</v>
      </c>
      <c r="H159" s="11" t="s">
        <v>232</v>
      </c>
      <c r="I159" s="11" t="s">
        <v>228</v>
      </c>
      <c r="J159" s="11" t="s">
        <v>236</v>
      </c>
      <c r="K159" s="11" t="s">
        <v>239</v>
      </c>
      <c r="L159" s="16">
        <v>3776.74</v>
      </c>
      <c r="M159" s="11" t="s">
        <v>17</v>
      </c>
      <c r="N159" s="11" t="s">
        <v>18</v>
      </c>
      <c r="O159" s="13" t="s">
        <v>21</v>
      </c>
    </row>
    <row r="160" spans="1:15" x14ac:dyDescent="0.3">
      <c r="A160" s="6" t="s">
        <v>181</v>
      </c>
      <c r="B160" s="7" t="s">
        <v>11</v>
      </c>
      <c r="C160" s="8">
        <v>23558</v>
      </c>
      <c r="D160" s="7">
        <f t="shared" ca="1" si="5"/>
        <v>62</v>
      </c>
      <c r="E160" s="8">
        <v>46062</v>
      </c>
      <c r="F160" s="8">
        <v>46068</v>
      </c>
      <c r="G160" s="18">
        <f t="shared" si="6"/>
        <v>6</v>
      </c>
      <c r="H160" s="7" t="s">
        <v>232</v>
      </c>
      <c r="I160" s="7" t="s">
        <v>238</v>
      </c>
      <c r="J160" s="7" t="s">
        <v>236</v>
      </c>
      <c r="K160" s="7" t="s">
        <v>229</v>
      </c>
      <c r="L160" s="15">
        <v>17963.72</v>
      </c>
      <c r="M160" s="7" t="s">
        <v>14</v>
      </c>
      <c r="N160" s="7" t="s">
        <v>230</v>
      </c>
      <c r="O160" s="9" t="s">
        <v>21</v>
      </c>
    </row>
    <row r="161" spans="1:15" x14ac:dyDescent="0.3">
      <c r="A161" s="10" t="s">
        <v>182</v>
      </c>
      <c r="B161" s="11" t="s">
        <v>11</v>
      </c>
      <c r="C161" s="12">
        <v>34487</v>
      </c>
      <c r="D161" s="7">
        <f t="shared" ca="1" si="5"/>
        <v>32</v>
      </c>
      <c r="E161" s="12">
        <v>45763</v>
      </c>
      <c r="F161" s="12">
        <v>45766</v>
      </c>
      <c r="G161" s="18">
        <f t="shared" si="6"/>
        <v>3</v>
      </c>
      <c r="H161" s="11" t="s">
        <v>12</v>
      </c>
      <c r="I161" s="11" t="s">
        <v>228</v>
      </c>
      <c r="J161" s="11" t="s">
        <v>13</v>
      </c>
      <c r="K161" s="11" t="s">
        <v>239</v>
      </c>
      <c r="L161" s="16">
        <v>17288.080000000002</v>
      </c>
      <c r="M161" s="11" t="s">
        <v>14</v>
      </c>
      <c r="N161" s="11" t="s">
        <v>230</v>
      </c>
      <c r="O161" s="13" t="s">
        <v>21</v>
      </c>
    </row>
    <row r="162" spans="1:15" x14ac:dyDescent="0.3">
      <c r="A162" s="6" t="s">
        <v>183</v>
      </c>
      <c r="B162" s="7" t="s">
        <v>24</v>
      </c>
      <c r="C162" s="8">
        <v>26457</v>
      </c>
      <c r="D162" s="7">
        <f t="shared" ca="1" si="5"/>
        <v>54</v>
      </c>
      <c r="E162" s="8">
        <v>45610</v>
      </c>
      <c r="F162" s="8">
        <v>45615</v>
      </c>
      <c r="G162" s="18">
        <f t="shared" si="6"/>
        <v>5</v>
      </c>
      <c r="H162" s="7" t="s">
        <v>12</v>
      </c>
      <c r="I162" s="7" t="s">
        <v>27</v>
      </c>
      <c r="J162" s="7" t="s">
        <v>236</v>
      </c>
      <c r="K162" s="7" t="s">
        <v>237</v>
      </c>
      <c r="L162" s="15">
        <v>44803.4</v>
      </c>
      <c r="M162" s="7" t="s">
        <v>20</v>
      </c>
      <c r="N162" s="7" t="s">
        <v>18</v>
      </c>
      <c r="O162" s="9" t="s">
        <v>21</v>
      </c>
    </row>
    <row r="163" spans="1:15" x14ac:dyDescent="0.3">
      <c r="A163" s="10" t="s">
        <v>184</v>
      </c>
      <c r="B163" s="11" t="s">
        <v>24</v>
      </c>
      <c r="C163" s="12">
        <v>32351</v>
      </c>
      <c r="D163" s="7">
        <f t="shared" ca="1" si="5"/>
        <v>38</v>
      </c>
      <c r="E163" s="12">
        <v>45819</v>
      </c>
      <c r="F163" s="12">
        <v>45824</v>
      </c>
      <c r="G163" s="18">
        <f t="shared" si="6"/>
        <v>5</v>
      </c>
      <c r="H163" s="11" t="s">
        <v>30</v>
      </c>
      <c r="I163" s="11" t="s">
        <v>233</v>
      </c>
      <c r="J163" s="11" t="s">
        <v>236</v>
      </c>
      <c r="K163" s="11" t="s">
        <v>240</v>
      </c>
      <c r="L163" s="16">
        <v>20916.330000000002</v>
      </c>
      <c r="M163" s="11" t="s">
        <v>20</v>
      </c>
      <c r="N163" s="11" t="s">
        <v>18</v>
      </c>
      <c r="O163" s="13" t="s">
        <v>231</v>
      </c>
    </row>
    <row r="164" spans="1:15" x14ac:dyDescent="0.3">
      <c r="A164" s="6" t="s">
        <v>185</v>
      </c>
      <c r="B164" s="7" t="s">
        <v>24</v>
      </c>
      <c r="C164" s="8">
        <v>32378</v>
      </c>
      <c r="D164" s="7">
        <f t="shared" ca="1" si="5"/>
        <v>38</v>
      </c>
      <c r="E164" s="8">
        <v>45667</v>
      </c>
      <c r="F164" s="8">
        <v>45677</v>
      </c>
      <c r="G164" s="18">
        <f t="shared" si="6"/>
        <v>10</v>
      </c>
      <c r="H164" s="7" t="s">
        <v>235</v>
      </c>
      <c r="I164" s="7" t="s">
        <v>228</v>
      </c>
      <c r="J164" s="7" t="s">
        <v>236</v>
      </c>
      <c r="K164" s="7" t="s">
        <v>237</v>
      </c>
      <c r="L164" s="15">
        <v>16010.28</v>
      </c>
      <c r="M164" s="7" t="s">
        <v>20</v>
      </c>
      <c r="N164" s="7" t="s">
        <v>18</v>
      </c>
      <c r="O164" s="9" t="s">
        <v>21</v>
      </c>
    </row>
    <row r="165" spans="1:15" x14ac:dyDescent="0.3">
      <c r="A165" s="10" t="s">
        <v>186</v>
      </c>
      <c r="B165" s="11" t="s">
        <v>11</v>
      </c>
      <c r="C165" s="12">
        <v>30200</v>
      </c>
      <c r="D165" s="7">
        <f t="shared" ca="1" si="5"/>
        <v>44</v>
      </c>
      <c r="E165" s="12">
        <v>45739</v>
      </c>
      <c r="F165" s="12">
        <v>45749</v>
      </c>
      <c r="G165" s="18">
        <f t="shared" si="6"/>
        <v>10</v>
      </c>
      <c r="H165" s="11" t="s">
        <v>232</v>
      </c>
      <c r="I165" s="11" t="s">
        <v>34</v>
      </c>
      <c r="J165" s="11" t="s">
        <v>13</v>
      </c>
      <c r="K165" s="11" t="s">
        <v>237</v>
      </c>
      <c r="L165" s="16">
        <v>26750.66</v>
      </c>
      <c r="M165" s="11" t="s">
        <v>14</v>
      </c>
      <c r="N165" s="11" t="s">
        <v>230</v>
      </c>
      <c r="O165" s="13" t="s">
        <v>21</v>
      </c>
    </row>
    <row r="166" spans="1:15" x14ac:dyDescent="0.3">
      <c r="A166" s="6" t="s">
        <v>187</v>
      </c>
      <c r="B166" s="7" t="s">
        <v>24</v>
      </c>
      <c r="C166" s="8">
        <v>20275</v>
      </c>
      <c r="D166" s="7">
        <f t="shared" ca="1" si="5"/>
        <v>71</v>
      </c>
      <c r="E166" s="8">
        <v>46064</v>
      </c>
      <c r="F166" s="8">
        <v>46083</v>
      </c>
      <c r="G166" s="18">
        <f t="shared" si="6"/>
        <v>19</v>
      </c>
      <c r="H166" s="7" t="s">
        <v>30</v>
      </c>
      <c r="I166" s="7" t="s">
        <v>27</v>
      </c>
      <c r="J166" s="7" t="s">
        <v>16</v>
      </c>
      <c r="K166" s="7" t="s">
        <v>240</v>
      </c>
      <c r="L166" s="15">
        <v>5361.38</v>
      </c>
      <c r="M166" s="7" t="s">
        <v>20</v>
      </c>
      <c r="N166" s="7" t="s">
        <v>18</v>
      </c>
      <c r="O166" s="9" t="s">
        <v>231</v>
      </c>
    </row>
    <row r="167" spans="1:15" x14ac:dyDescent="0.3">
      <c r="A167" s="10" t="s">
        <v>188</v>
      </c>
      <c r="B167" s="11" t="s">
        <v>11</v>
      </c>
      <c r="C167" s="12">
        <v>36873</v>
      </c>
      <c r="D167" s="7">
        <f t="shared" ca="1" si="5"/>
        <v>26</v>
      </c>
      <c r="E167" s="12">
        <v>45608</v>
      </c>
      <c r="F167" s="12">
        <v>45625</v>
      </c>
      <c r="G167" s="18">
        <f t="shared" si="6"/>
        <v>17</v>
      </c>
      <c r="H167" s="11" t="s">
        <v>235</v>
      </c>
      <c r="I167" s="11" t="s">
        <v>27</v>
      </c>
      <c r="J167" s="11" t="s">
        <v>13</v>
      </c>
      <c r="K167" s="11" t="s">
        <v>237</v>
      </c>
      <c r="L167" s="16">
        <v>43332.46</v>
      </c>
      <c r="M167" s="11" t="s">
        <v>17</v>
      </c>
      <c r="N167" s="11" t="s">
        <v>18</v>
      </c>
      <c r="O167" s="13" t="s">
        <v>231</v>
      </c>
    </row>
    <row r="168" spans="1:15" x14ac:dyDescent="0.3">
      <c r="A168" s="6" t="s">
        <v>189</v>
      </c>
      <c r="B168" s="7" t="s">
        <v>11</v>
      </c>
      <c r="C168" s="8">
        <v>25410</v>
      </c>
      <c r="D168" s="7">
        <f t="shared" ca="1" si="5"/>
        <v>57</v>
      </c>
      <c r="E168" s="8">
        <v>46080</v>
      </c>
      <c r="F168" s="8">
        <v>46094</v>
      </c>
      <c r="G168" s="18">
        <f t="shared" si="6"/>
        <v>14</v>
      </c>
      <c r="H168" s="7" t="s">
        <v>234</v>
      </c>
      <c r="I168" s="7" t="s">
        <v>228</v>
      </c>
      <c r="J168" s="7" t="s">
        <v>13</v>
      </c>
      <c r="K168" s="7" t="s">
        <v>237</v>
      </c>
      <c r="L168" s="15">
        <v>29120.76</v>
      </c>
      <c r="M168" s="7" t="s">
        <v>17</v>
      </c>
      <c r="N168" s="7" t="s">
        <v>18</v>
      </c>
      <c r="O168" s="9" t="s">
        <v>231</v>
      </c>
    </row>
    <row r="169" spans="1:15" x14ac:dyDescent="0.3">
      <c r="A169" s="10" t="s">
        <v>190</v>
      </c>
      <c r="B169" s="11" t="s">
        <v>24</v>
      </c>
      <c r="C169" s="12">
        <v>22419</v>
      </c>
      <c r="D169" s="7">
        <f t="shared" ca="1" si="5"/>
        <v>65</v>
      </c>
      <c r="E169" s="12">
        <v>46034</v>
      </c>
      <c r="F169" s="12">
        <v>46043</v>
      </c>
      <c r="G169" s="18">
        <f t="shared" si="6"/>
        <v>9</v>
      </c>
      <c r="H169" s="11" t="s">
        <v>12</v>
      </c>
      <c r="I169" s="11" t="s">
        <v>228</v>
      </c>
      <c r="J169" s="11" t="s">
        <v>16</v>
      </c>
      <c r="K169" s="11" t="s">
        <v>239</v>
      </c>
      <c r="L169" s="16">
        <v>34335.449999999997</v>
      </c>
      <c r="M169" s="11" t="s">
        <v>14</v>
      </c>
      <c r="N169" s="11" t="s">
        <v>230</v>
      </c>
      <c r="O169" s="13" t="s">
        <v>21</v>
      </c>
    </row>
    <row r="170" spans="1:15" x14ac:dyDescent="0.3">
      <c r="A170" s="6" t="s">
        <v>191</v>
      </c>
      <c r="B170" s="7" t="s">
        <v>24</v>
      </c>
      <c r="C170" s="8">
        <v>19172</v>
      </c>
      <c r="D170" s="7">
        <f t="shared" ca="1" si="5"/>
        <v>74</v>
      </c>
      <c r="E170" s="8">
        <v>45452</v>
      </c>
      <c r="F170" s="8">
        <v>45466</v>
      </c>
      <c r="G170" s="18">
        <f t="shared" si="6"/>
        <v>14</v>
      </c>
      <c r="H170" s="7" t="s">
        <v>235</v>
      </c>
      <c r="I170" s="7" t="s">
        <v>233</v>
      </c>
      <c r="J170" s="7" t="s">
        <v>13</v>
      </c>
      <c r="K170" s="7" t="s">
        <v>239</v>
      </c>
      <c r="L170" s="15">
        <v>8915.7900000000009</v>
      </c>
      <c r="M170" s="7" t="s">
        <v>14</v>
      </c>
      <c r="N170" s="7" t="s">
        <v>230</v>
      </c>
      <c r="O170" s="9" t="s">
        <v>231</v>
      </c>
    </row>
    <row r="171" spans="1:15" x14ac:dyDescent="0.3">
      <c r="A171" s="10" t="s">
        <v>192</v>
      </c>
      <c r="B171" s="11" t="s">
        <v>24</v>
      </c>
      <c r="C171" s="12">
        <v>31428</v>
      </c>
      <c r="D171" s="7">
        <f t="shared" ca="1" si="5"/>
        <v>41</v>
      </c>
      <c r="E171" s="12">
        <v>45348</v>
      </c>
      <c r="F171" s="12">
        <v>45349</v>
      </c>
      <c r="G171" s="18">
        <f t="shared" si="6"/>
        <v>1</v>
      </c>
      <c r="H171" s="11" t="s">
        <v>234</v>
      </c>
      <c r="I171" s="11" t="s">
        <v>238</v>
      </c>
      <c r="J171" s="11" t="s">
        <v>16</v>
      </c>
      <c r="K171" s="11" t="s">
        <v>240</v>
      </c>
      <c r="L171" s="16">
        <v>19312.29</v>
      </c>
      <c r="M171" s="11" t="s">
        <v>20</v>
      </c>
      <c r="N171" s="11" t="s">
        <v>18</v>
      </c>
      <c r="O171" s="13" t="s">
        <v>21</v>
      </c>
    </row>
    <row r="172" spans="1:15" x14ac:dyDescent="0.3">
      <c r="A172" s="6" t="s">
        <v>193</v>
      </c>
      <c r="B172" s="7" t="s">
        <v>11</v>
      </c>
      <c r="C172" s="8">
        <v>33359</v>
      </c>
      <c r="D172" s="7">
        <f t="shared" ca="1" si="5"/>
        <v>35</v>
      </c>
      <c r="E172" s="8">
        <v>45374</v>
      </c>
      <c r="F172" s="8">
        <v>45393</v>
      </c>
      <c r="G172" s="18">
        <f t="shared" si="6"/>
        <v>19</v>
      </c>
      <c r="H172" s="7" t="s">
        <v>235</v>
      </c>
      <c r="I172" s="7" t="s">
        <v>228</v>
      </c>
      <c r="J172" s="7" t="s">
        <v>13</v>
      </c>
      <c r="K172" s="7" t="s">
        <v>239</v>
      </c>
      <c r="L172" s="15">
        <v>19886.98</v>
      </c>
      <c r="M172" s="7" t="s">
        <v>14</v>
      </c>
      <c r="N172" s="7" t="s">
        <v>230</v>
      </c>
      <c r="O172" s="9" t="s">
        <v>21</v>
      </c>
    </row>
    <row r="173" spans="1:15" x14ac:dyDescent="0.3">
      <c r="A173" s="10" t="s">
        <v>194</v>
      </c>
      <c r="B173" s="11" t="s">
        <v>24</v>
      </c>
      <c r="C173" s="12">
        <v>18633</v>
      </c>
      <c r="D173" s="7">
        <f t="shared" ca="1" si="5"/>
        <v>76</v>
      </c>
      <c r="E173" s="12">
        <v>45306</v>
      </c>
      <c r="F173" s="12">
        <v>45319</v>
      </c>
      <c r="G173" s="18">
        <f t="shared" si="6"/>
        <v>13</v>
      </c>
      <c r="H173" s="11" t="s">
        <v>12</v>
      </c>
      <c r="I173" s="11" t="s">
        <v>228</v>
      </c>
      <c r="J173" s="11" t="s">
        <v>16</v>
      </c>
      <c r="K173" s="11" t="s">
        <v>239</v>
      </c>
      <c r="L173" s="16">
        <v>37248.58</v>
      </c>
      <c r="M173" s="11" t="s">
        <v>14</v>
      </c>
      <c r="N173" s="11" t="s">
        <v>230</v>
      </c>
      <c r="O173" s="13" t="s">
        <v>231</v>
      </c>
    </row>
    <row r="174" spans="1:15" x14ac:dyDescent="0.3">
      <c r="A174" s="6" t="s">
        <v>195</v>
      </c>
      <c r="B174" s="7" t="s">
        <v>11</v>
      </c>
      <c r="C174" s="8">
        <v>29672</v>
      </c>
      <c r="D174" s="7">
        <f t="shared" ca="1" si="5"/>
        <v>45</v>
      </c>
      <c r="E174" s="8">
        <v>45369</v>
      </c>
      <c r="F174" s="8">
        <v>45382</v>
      </c>
      <c r="G174" s="18">
        <f t="shared" si="6"/>
        <v>13</v>
      </c>
      <c r="H174" s="7" t="s">
        <v>12</v>
      </c>
      <c r="I174" s="7" t="s">
        <v>34</v>
      </c>
      <c r="J174" s="7" t="s">
        <v>236</v>
      </c>
      <c r="K174" s="7" t="s">
        <v>237</v>
      </c>
      <c r="L174" s="15">
        <v>1553.8</v>
      </c>
      <c r="M174" s="7" t="s">
        <v>17</v>
      </c>
      <c r="N174" s="7" t="s">
        <v>18</v>
      </c>
      <c r="O174" s="9" t="s">
        <v>231</v>
      </c>
    </row>
    <row r="175" spans="1:15" x14ac:dyDescent="0.3">
      <c r="A175" s="10" t="s">
        <v>196</v>
      </c>
      <c r="B175" s="11" t="s">
        <v>24</v>
      </c>
      <c r="C175" s="12">
        <v>23310</v>
      </c>
      <c r="D175" s="7">
        <f t="shared" ca="1" si="5"/>
        <v>63</v>
      </c>
      <c r="E175" s="12">
        <v>45852</v>
      </c>
      <c r="F175" s="12">
        <v>45856</v>
      </c>
      <c r="G175" s="18">
        <f t="shared" si="6"/>
        <v>4</v>
      </c>
      <c r="H175" s="11" t="s">
        <v>30</v>
      </c>
      <c r="I175" s="11" t="s">
        <v>27</v>
      </c>
      <c r="J175" s="11" t="s">
        <v>13</v>
      </c>
      <c r="K175" s="11" t="s">
        <v>229</v>
      </c>
      <c r="L175" s="16">
        <v>14587.11</v>
      </c>
      <c r="M175" s="11" t="s">
        <v>17</v>
      </c>
      <c r="N175" s="11" t="s">
        <v>18</v>
      </c>
      <c r="O175" s="13" t="s">
        <v>21</v>
      </c>
    </row>
    <row r="176" spans="1:15" x14ac:dyDescent="0.3">
      <c r="A176" s="6" t="s">
        <v>197</v>
      </c>
      <c r="B176" s="7" t="s">
        <v>11</v>
      </c>
      <c r="C176" s="8">
        <v>32637</v>
      </c>
      <c r="D176" s="7">
        <f t="shared" ca="1" si="5"/>
        <v>37</v>
      </c>
      <c r="E176" s="8">
        <v>45350</v>
      </c>
      <c r="F176" s="8">
        <v>45351</v>
      </c>
      <c r="G176" s="18">
        <f t="shared" si="6"/>
        <v>1</v>
      </c>
      <c r="H176" s="7" t="s">
        <v>232</v>
      </c>
      <c r="I176" s="7" t="s">
        <v>238</v>
      </c>
      <c r="J176" s="7" t="s">
        <v>13</v>
      </c>
      <c r="K176" s="7" t="s">
        <v>239</v>
      </c>
      <c r="L176" s="15">
        <v>44183.78</v>
      </c>
      <c r="M176" s="7" t="s">
        <v>20</v>
      </c>
      <c r="N176" s="7" t="s">
        <v>18</v>
      </c>
      <c r="O176" s="9" t="s">
        <v>231</v>
      </c>
    </row>
    <row r="177" spans="1:15" x14ac:dyDescent="0.3">
      <c r="A177" s="10" t="s">
        <v>198</v>
      </c>
      <c r="B177" s="11" t="s">
        <v>11</v>
      </c>
      <c r="C177" s="12">
        <v>22148</v>
      </c>
      <c r="D177" s="7">
        <f t="shared" ca="1" si="5"/>
        <v>66</v>
      </c>
      <c r="E177" s="12">
        <v>45553</v>
      </c>
      <c r="F177" s="12">
        <v>45570</v>
      </c>
      <c r="G177" s="18">
        <f t="shared" si="6"/>
        <v>17</v>
      </c>
      <c r="H177" s="11" t="s">
        <v>235</v>
      </c>
      <c r="I177" s="11" t="s">
        <v>34</v>
      </c>
      <c r="J177" s="11" t="s">
        <v>13</v>
      </c>
      <c r="K177" s="11" t="s">
        <v>229</v>
      </c>
      <c r="L177" s="16">
        <v>22157.56</v>
      </c>
      <c r="M177" s="11" t="s">
        <v>14</v>
      </c>
      <c r="N177" s="11" t="s">
        <v>230</v>
      </c>
      <c r="O177" s="13" t="s">
        <v>21</v>
      </c>
    </row>
    <row r="178" spans="1:15" x14ac:dyDescent="0.3">
      <c r="A178" s="6" t="s">
        <v>199</v>
      </c>
      <c r="B178" s="7" t="s">
        <v>24</v>
      </c>
      <c r="C178" s="8">
        <v>33657</v>
      </c>
      <c r="D178" s="7">
        <f t="shared" ca="1" si="5"/>
        <v>35</v>
      </c>
      <c r="E178" s="8">
        <v>45984</v>
      </c>
      <c r="F178" s="8">
        <v>45992</v>
      </c>
      <c r="G178" s="18">
        <f t="shared" si="6"/>
        <v>8</v>
      </c>
      <c r="H178" s="7" t="s">
        <v>235</v>
      </c>
      <c r="I178" s="7" t="s">
        <v>233</v>
      </c>
      <c r="J178" s="7" t="s">
        <v>13</v>
      </c>
      <c r="K178" s="7" t="s">
        <v>239</v>
      </c>
      <c r="L178" s="15">
        <v>18139.89</v>
      </c>
      <c r="M178" s="7" t="s">
        <v>14</v>
      </c>
      <c r="N178" s="7" t="s">
        <v>230</v>
      </c>
      <c r="O178" s="9" t="s">
        <v>231</v>
      </c>
    </row>
    <row r="179" spans="1:15" x14ac:dyDescent="0.3">
      <c r="A179" s="10" t="s">
        <v>200</v>
      </c>
      <c r="B179" s="11" t="s">
        <v>11</v>
      </c>
      <c r="C179" s="12">
        <v>26880</v>
      </c>
      <c r="D179" s="7">
        <f t="shared" ca="1" si="5"/>
        <v>53</v>
      </c>
      <c r="E179" s="12">
        <v>45311</v>
      </c>
      <c r="F179" s="12">
        <v>45313</v>
      </c>
      <c r="G179" s="18">
        <f t="shared" si="6"/>
        <v>2</v>
      </c>
      <c r="H179" s="11" t="s">
        <v>234</v>
      </c>
      <c r="I179" s="11" t="s">
        <v>233</v>
      </c>
      <c r="J179" s="11" t="s">
        <v>236</v>
      </c>
      <c r="K179" s="11" t="s">
        <v>239</v>
      </c>
      <c r="L179" s="16">
        <v>6712.56</v>
      </c>
      <c r="M179" s="11" t="s">
        <v>17</v>
      </c>
      <c r="N179" s="11" t="s">
        <v>18</v>
      </c>
      <c r="O179" s="13" t="s">
        <v>231</v>
      </c>
    </row>
    <row r="180" spans="1:15" x14ac:dyDescent="0.3">
      <c r="A180" s="6" t="s">
        <v>201</v>
      </c>
      <c r="B180" s="7" t="s">
        <v>11</v>
      </c>
      <c r="C180" s="8">
        <v>39133</v>
      </c>
      <c r="D180" s="7">
        <f t="shared" ca="1" si="5"/>
        <v>20</v>
      </c>
      <c r="E180" s="8">
        <v>45959</v>
      </c>
      <c r="F180" s="8">
        <v>45967</v>
      </c>
      <c r="G180" s="18">
        <f t="shared" si="6"/>
        <v>8</v>
      </c>
      <c r="H180" s="7" t="s">
        <v>12</v>
      </c>
      <c r="I180" s="7" t="s">
        <v>228</v>
      </c>
      <c r="J180" s="7" t="s">
        <v>13</v>
      </c>
      <c r="K180" s="7" t="s">
        <v>240</v>
      </c>
      <c r="L180" s="15">
        <v>43876.160000000003</v>
      </c>
      <c r="M180" s="7" t="s">
        <v>14</v>
      </c>
      <c r="N180" s="7" t="s">
        <v>230</v>
      </c>
      <c r="O180" s="9" t="s">
        <v>231</v>
      </c>
    </row>
    <row r="181" spans="1:15" x14ac:dyDescent="0.3">
      <c r="A181" s="10" t="s">
        <v>202</v>
      </c>
      <c r="B181" s="11" t="s">
        <v>24</v>
      </c>
      <c r="C181" s="12">
        <v>21327</v>
      </c>
      <c r="D181" s="7">
        <f t="shared" ca="1" si="5"/>
        <v>68</v>
      </c>
      <c r="E181" s="12">
        <v>45523</v>
      </c>
      <c r="F181" s="12">
        <v>45530</v>
      </c>
      <c r="G181" s="18">
        <f t="shared" si="6"/>
        <v>7</v>
      </c>
      <c r="H181" s="11" t="s">
        <v>235</v>
      </c>
      <c r="I181" s="11" t="s">
        <v>228</v>
      </c>
      <c r="J181" s="11" t="s">
        <v>236</v>
      </c>
      <c r="K181" s="11" t="s">
        <v>240</v>
      </c>
      <c r="L181" s="16">
        <v>2371.15</v>
      </c>
      <c r="M181" s="11" t="s">
        <v>17</v>
      </c>
      <c r="N181" s="11" t="s">
        <v>18</v>
      </c>
      <c r="O181" s="13" t="s">
        <v>21</v>
      </c>
    </row>
    <row r="182" spans="1:15" x14ac:dyDescent="0.3">
      <c r="A182" s="6" t="s">
        <v>203</v>
      </c>
      <c r="B182" s="7" t="s">
        <v>11</v>
      </c>
      <c r="C182" s="8">
        <v>25862</v>
      </c>
      <c r="D182" s="7">
        <f t="shared" ca="1" si="5"/>
        <v>56</v>
      </c>
      <c r="E182" s="8">
        <v>45388</v>
      </c>
      <c r="F182" s="8">
        <v>45390</v>
      </c>
      <c r="G182" s="18">
        <f t="shared" si="6"/>
        <v>2</v>
      </c>
      <c r="H182" s="7" t="s">
        <v>12</v>
      </c>
      <c r="I182" s="7" t="s">
        <v>233</v>
      </c>
      <c r="J182" s="7" t="s">
        <v>236</v>
      </c>
      <c r="K182" s="7" t="s">
        <v>240</v>
      </c>
      <c r="L182" s="15">
        <v>33567.339999999997</v>
      </c>
      <c r="M182" s="7" t="s">
        <v>20</v>
      </c>
      <c r="N182" s="7" t="s">
        <v>18</v>
      </c>
      <c r="O182" s="9" t="s">
        <v>231</v>
      </c>
    </row>
    <row r="183" spans="1:15" x14ac:dyDescent="0.3">
      <c r="A183" s="10" t="s">
        <v>204</v>
      </c>
      <c r="B183" s="11" t="s">
        <v>24</v>
      </c>
      <c r="C183" s="12">
        <v>20792</v>
      </c>
      <c r="D183" s="7">
        <f t="shared" ca="1" si="5"/>
        <v>70</v>
      </c>
      <c r="E183" s="12">
        <v>45863</v>
      </c>
      <c r="F183" s="12">
        <v>45866</v>
      </c>
      <c r="G183" s="18">
        <f t="shared" si="6"/>
        <v>3</v>
      </c>
      <c r="H183" s="11" t="s">
        <v>235</v>
      </c>
      <c r="I183" s="11" t="s">
        <v>228</v>
      </c>
      <c r="J183" s="11" t="s">
        <v>236</v>
      </c>
      <c r="K183" s="11" t="s">
        <v>229</v>
      </c>
      <c r="L183" s="16">
        <v>34934.089999999997</v>
      </c>
      <c r="M183" s="11" t="s">
        <v>17</v>
      </c>
      <c r="N183" s="11" t="s">
        <v>18</v>
      </c>
      <c r="O183" s="13" t="s">
        <v>21</v>
      </c>
    </row>
    <row r="184" spans="1:15" x14ac:dyDescent="0.3">
      <c r="A184" s="6" t="s">
        <v>205</v>
      </c>
      <c r="B184" s="7" t="s">
        <v>11</v>
      </c>
      <c r="C184" s="8">
        <v>38865</v>
      </c>
      <c r="D184" s="7">
        <f t="shared" ca="1" si="5"/>
        <v>20</v>
      </c>
      <c r="E184" s="8">
        <v>45807</v>
      </c>
      <c r="F184" s="8">
        <v>45825</v>
      </c>
      <c r="G184" s="18">
        <f t="shared" si="6"/>
        <v>18</v>
      </c>
      <c r="H184" s="7" t="s">
        <v>30</v>
      </c>
      <c r="I184" s="7" t="s">
        <v>238</v>
      </c>
      <c r="J184" s="7" t="s">
        <v>236</v>
      </c>
      <c r="K184" s="7" t="s">
        <v>237</v>
      </c>
      <c r="L184" s="15">
        <v>12099.07</v>
      </c>
      <c r="M184" s="7" t="s">
        <v>14</v>
      </c>
      <c r="N184" s="7" t="s">
        <v>230</v>
      </c>
      <c r="O184" s="9" t="s">
        <v>21</v>
      </c>
    </row>
    <row r="185" spans="1:15" x14ac:dyDescent="0.3">
      <c r="A185" s="10" t="s">
        <v>206</v>
      </c>
      <c r="B185" s="11" t="s">
        <v>24</v>
      </c>
      <c r="C185" s="12">
        <v>37810</v>
      </c>
      <c r="D185" s="7">
        <f t="shared" ca="1" si="5"/>
        <v>23</v>
      </c>
      <c r="E185" s="12">
        <v>46011</v>
      </c>
      <c r="F185" s="12">
        <v>46023</v>
      </c>
      <c r="G185" s="18">
        <f t="shared" si="6"/>
        <v>12</v>
      </c>
      <c r="H185" s="11" t="s">
        <v>232</v>
      </c>
      <c r="I185" s="11" t="s">
        <v>228</v>
      </c>
      <c r="J185" s="11" t="s">
        <v>16</v>
      </c>
      <c r="K185" s="11" t="s">
        <v>239</v>
      </c>
      <c r="L185" s="16">
        <v>30712.79</v>
      </c>
      <c r="M185" s="11" t="s">
        <v>20</v>
      </c>
      <c r="N185" s="11" t="s">
        <v>18</v>
      </c>
      <c r="O185" s="13" t="s">
        <v>21</v>
      </c>
    </row>
    <row r="186" spans="1:15" x14ac:dyDescent="0.3">
      <c r="A186" s="6" t="s">
        <v>207</v>
      </c>
      <c r="B186" s="7" t="s">
        <v>24</v>
      </c>
      <c r="C186" s="8">
        <v>24010</v>
      </c>
      <c r="D186" s="7">
        <f t="shared" ca="1" si="5"/>
        <v>61</v>
      </c>
      <c r="E186" s="8">
        <v>45894</v>
      </c>
      <c r="F186" s="8">
        <v>45895</v>
      </c>
      <c r="G186" s="18">
        <f t="shared" si="6"/>
        <v>1</v>
      </c>
      <c r="H186" s="7" t="s">
        <v>235</v>
      </c>
      <c r="I186" s="7" t="s">
        <v>27</v>
      </c>
      <c r="J186" s="7" t="s">
        <v>16</v>
      </c>
      <c r="K186" s="7" t="s">
        <v>239</v>
      </c>
      <c r="L186" s="15">
        <v>5542.42</v>
      </c>
      <c r="M186" s="7" t="s">
        <v>17</v>
      </c>
      <c r="N186" s="7" t="s">
        <v>18</v>
      </c>
      <c r="O186" s="9" t="s">
        <v>21</v>
      </c>
    </row>
    <row r="187" spans="1:15" x14ac:dyDescent="0.3">
      <c r="A187" s="10" t="s">
        <v>208</v>
      </c>
      <c r="B187" s="11" t="s">
        <v>11</v>
      </c>
      <c r="C187" s="12">
        <v>32967</v>
      </c>
      <c r="D187" s="7">
        <f t="shared" ca="1" si="5"/>
        <v>36</v>
      </c>
      <c r="E187" s="12">
        <v>45950</v>
      </c>
      <c r="F187" s="12">
        <v>45962</v>
      </c>
      <c r="G187" s="18">
        <f t="shared" si="6"/>
        <v>12</v>
      </c>
      <c r="H187" s="11" t="s">
        <v>12</v>
      </c>
      <c r="I187" s="11" t="s">
        <v>228</v>
      </c>
      <c r="J187" s="11" t="s">
        <v>13</v>
      </c>
      <c r="K187" s="11" t="s">
        <v>239</v>
      </c>
      <c r="L187" s="16">
        <v>12681.56</v>
      </c>
      <c r="M187" s="11" t="s">
        <v>17</v>
      </c>
      <c r="N187" s="11" t="s">
        <v>18</v>
      </c>
      <c r="O187" s="13" t="s">
        <v>231</v>
      </c>
    </row>
    <row r="188" spans="1:15" x14ac:dyDescent="0.3">
      <c r="A188" s="6" t="s">
        <v>209</v>
      </c>
      <c r="B188" s="7" t="s">
        <v>11</v>
      </c>
      <c r="C188" s="8">
        <v>36470</v>
      </c>
      <c r="D188" s="7">
        <f t="shared" ca="1" si="5"/>
        <v>27</v>
      </c>
      <c r="E188" s="8">
        <v>45523</v>
      </c>
      <c r="F188" s="8">
        <v>45528</v>
      </c>
      <c r="G188" s="18">
        <f t="shared" si="6"/>
        <v>5</v>
      </c>
      <c r="H188" s="7" t="s">
        <v>30</v>
      </c>
      <c r="I188" s="7" t="s">
        <v>34</v>
      </c>
      <c r="J188" s="7" t="s">
        <v>16</v>
      </c>
      <c r="K188" s="7" t="s">
        <v>229</v>
      </c>
      <c r="L188" s="15">
        <v>35773.74</v>
      </c>
      <c r="M188" s="7" t="s">
        <v>20</v>
      </c>
      <c r="N188" s="7" t="s">
        <v>18</v>
      </c>
      <c r="O188" s="9" t="s">
        <v>21</v>
      </c>
    </row>
    <row r="189" spans="1:15" x14ac:dyDescent="0.3">
      <c r="A189" s="10" t="s">
        <v>210</v>
      </c>
      <c r="B189" s="11" t="s">
        <v>11</v>
      </c>
      <c r="C189" s="12">
        <v>30633</v>
      </c>
      <c r="D189" s="7">
        <f t="shared" ca="1" si="5"/>
        <v>43</v>
      </c>
      <c r="E189" s="12">
        <v>45437</v>
      </c>
      <c r="F189" s="12">
        <v>45454</v>
      </c>
      <c r="G189" s="18">
        <f t="shared" si="6"/>
        <v>17</v>
      </c>
      <c r="H189" s="11" t="s">
        <v>235</v>
      </c>
      <c r="I189" s="11" t="s">
        <v>238</v>
      </c>
      <c r="J189" s="11" t="s">
        <v>16</v>
      </c>
      <c r="K189" s="11" t="s">
        <v>240</v>
      </c>
      <c r="L189" s="16">
        <v>39113.85</v>
      </c>
      <c r="M189" s="11" t="s">
        <v>20</v>
      </c>
      <c r="N189" s="11" t="s">
        <v>18</v>
      </c>
      <c r="O189" s="13" t="s">
        <v>21</v>
      </c>
    </row>
    <row r="190" spans="1:15" x14ac:dyDescent="0.3">
      <c r="A190" s="6" t="s">
        <v>211</v>
      </c>
      <c r="B190" s="7" t="s">
        <v>11</v>
      </c>
      <c r="C190" s="8">
        <v>30064</v>
      </c>
      <c r="D190" s="7">
        <f t="shared" ca="1" si="5"/>
        <v>44</v>
      </c>
      <c r="E190" s="8">
        <v>45907</v>
      </c>
      <c r="F190" s="8">
        <v>45923</v>
      </c>
      <c r="G190" s="18">
        <f t="shared" si="6"/>
        <v>16</v>
      </c>
      <c r="H190" s="7" t="s">
        <v>234</v>
      </c>
      <c r="I190" s="7" t="s">
        <v>34</v>
      </c>
      <c r="J190" s="7" t="s">
        <v>13</v>
      </c>
      <c r="K190" s="7" t="s">
        <v>237</v>
      </c>
      <c r="L190" s="15">
        <v>27969.16</v>
      </c>
      <c r="M190" s="7" t="s">
        <v>17</v>
      </c>
      <c r="N190" s="7" t="s">
        <v>18</v>
      </c>
      <c r="O190" s="9" t="s">
        <v>231</v>
      </c>
    </row>
    <row r="191" spans="1:15" x14ac:dyDescent="0.3">
      <c r="A191" s="10" t="s">
        <v>212</v>
      </c>
      <c r="B191" s="11" t="s">
        <v>11</v>
      </c>
      <c r="C191" s="12">
        <v>23652</v>
      </c>
      <c r="D191" s="7">
        <f t="shared" ca="1" si="5"/>
        <v>62</v>
      </c>
      <c r="E191" s="12">
        <v>45953</v>
      </c>
      <c r="F191" s="12">
        <v>45968</v>
      </c>
      <c r="G191" s="18">
        <f t="shared" si="6"/>
        <v>15</v>
      </c>
      <c r="H191" s="11" t="s">
        <v>232</v>
      </c>
      <c r="I191" s="11" t="s">
        <v>34</v>
      </c>
      <c r="J191" s="11" t="s">
        <v>13</v>
      </c>
      <c r="K191" s="11" t="s">
        <v>229</v>
      </c>
      <c r="L191" s="16">
        <v>23547.47</v>
      </c>
      <c r="M191" s="11" t="s">
        <v>14</v>
      </c>
      <c r="N191" s="11" t="s">
        <v>230</v>
      </c>
      <c r="O191" s="13" t="s">
        <v>21</v>
      </c>
    </row>
    <row r="192" spans="1:15" x14ac:dyDescent="0.3">
      <c r="A192" s="6" t="s">
        <v>213</v>
      </c>
      <c r="B192" s="7" t="s">
        <v>24</v>
      </c>
      <c r="C192" s="8">
        <v>20338</v>
      </c>
      <c r="D192" s="7">
        <f t="shared" ca="1" si="5"/>
        <v>71</v>
      </c>
      <c r="E192" s="8">
        <v>46104</v>
      </c>
      <c r="F192" s="8">
        <v>46119</v>
      </c>
      <c r="G192" s="18">
        <f t="shared" si="6"/>
        <v>15</v>
      </c>
      <c r="H192" s="7" t="s">
        <v>235</v>
      </c>
      <c r="I192" s="7" t="s">
        <v>27</v>
      </c>
      <c r="J192" s="7" t="s">
        <v>13</v>
      </c>
      <c r="K192" s="7" t="s">
        <v>240</v>
      </c>
      <c r="L192" s="15">
        <v>8429.7199999999993</v>
      </c>
      <c r="M192" s="7" t="s">
        <v>17</v>
      </c>
      <c r="N192" s="7" t="s">
        <v>18</v>
      </c>
      <c r="O192" s="9" t="s">
        <v>231</v>
      </c>
    </row>
    <row r="193" spans="1:15" x14ac:dyDescent="0.3">
      <c r="A193" s="10" t="s">
        <v>214</v>
      </c>
      <c r="B193" s="11" t="s">
        <v>11</v>
      </c>
      <c r="C193" s="12">
        <v>38253</v>
      </c>
      <c r="D193" s="7">
        <f t="shared" ca="1" si="5"/>
        <v>22</v>
      </c>
      <c r="E193" s="12">
        <v>45630</v>
      </c>
      <c r="F193" s="12">
        <v>45635</v>
      </c>
      <c r="G193" s="18">
        <f t="shared" si="6"/>
        <v>5</v>
      </c>
      <c r="H193" s="11" t="s">
        <v>30</v>
      </c>
      <c r="I193" s="11" t="s">
        <v>238</v>
      </c>
      <c r="J193" s="11" t="s">
        <v>16</v>
      </c>
      <c r="K193" s="11" t="s">
        <v>229</v>
      </c>
      <c r="L193" s="16">
        <v>4245.24</v>
      </c>
      <c r="M193" s="11" t="s">
        <v>20</v>
      </c>
      <c r="N193" s="11" t="s">
        <v>18</v>
      </c>
      <c r="O193" s="13" t="s">
        <v>21</v>
      </c>
    </row>
    <row r="194" spans="1:15" x14ac:dyDescent="0.3">
      <c r="A194" s="6" t="s">
        <v>215</v>
      </c>
      <c r="B194" s="7" t="s">
        <v>24</v>
      </c>
      <c r="C194" s="8">
        <v>38324</v>
      </c>
      <c r="D194" s="7">
        <f t="shared" ca="1" si="5"/>
        <v>22</v>
      </c>
      <c r="E194" s="8">
        <v>45597</v>
      </c>
      <c r="F194" s="8">
        <v>45611</v>
      </c>
      <c r="G194" s="18">
        <f t="shared" si="6"/>
        <v>14</v>
      </c>
      <c r="H194" s="7" t="s">
        <v>234</v>
      </c>
      <c r="I194" s="7" t="s">
        <v>238</v>
      </c>
      <c r="J194" s="7" t="s">
        <v>16</v>
      </c>
      <c r="K194" s="7" t="s">
        <v>237</v>
      </c>
      <c r="L194" s="15">
        <v>6617.73</v>
      </c>
      <c r="M194" s="7" t="s">
        <v>17</v>
      </c>
      <c r="N194" s="7" t="s">
        <v>18</v>
      </c>
      <c r="O194" s="9" t="s">
        <v>231</v>
      </c>
    </row>
    <row r="195" spans="1:15" x14ac:dyDescent="0.3">
      <c r="A195" s="10" t="s">
        <v>216</v>
      </c>
      <c r="B195" s="11" t="s">
        <v>24</v>
      </c>
      <c r="C195" s="12">
        <v>32368</v>
      </c>
      <c r="D195" s="7">
        <f t="shared" ref="D195:D201" ca="1" si="7">ROUND((TODAY()-C195)/365,0)</f>
        <v>38</v>
      </c>
      <c r="E195" s="12">
        <v>45928</v>
      </c>
      <c r="F195" s="12">
        <v>45930</v>
      </c>
      <c r="G195" s="18">
        <f t="shared" ref="G195:G201" si="8">F195-E195</f>
        <v>2</v>
      </c>
      <c r="H195" s="11" t="s">
        <v>30</v>
      </c>
      <c r="I195" s="11" t="s">
        <v>238</v>
      </c>
      <c r="J195" s="11" t="s">
        <v>13</v>
      </c>
      <c r="K195" s="11" t="s">
        <v>240</v>
      </c>
      <c r="L195" s="16">
        <v>11390.04</v>
      </c>
      <c r="M195" s="11" t="s">
        <v>20</v>
      </c>
      <c r="N195" s="11" t="s">
        <v>18</v>
      </c>
      <c r="O195" s="13" t="s">
        <v>21</v>
      </c>
    </row>
    <row r="196" spans="1:15" x14ac:dyDescent="0.3">
      <c r="A196" s="6" t="s">
        <v>217</v>
      </c>
      <c r="B196" s="7" t="s">
        <v>11</v>
      </c>
      <c r="C196" s="8">
        <v>25817</v>
      </c>
      <c r="D196" s="7">
        <f t="shared" ca="1" si="7"/>
        <v>56</v>
      </c>
      <c r="E196" s="8">
        <v>45571</v>
      </c>
      <c r="F196" s="8">
        <v>45582</v>
      </c>
      <c r="G196" s="18">
        <f t="shared" si="8"/>
        <v>11</v>
      </c>
      <c r="H196" s="7" t="s">
        <v>30</v>
      </c>
      <c r="I196" s="7" t="s">
        <v>238</v>
      </c>
      <c r="J196" s="7" t="s">
        <v>236</v>
      </c>
      <c r="K196" s="7" t="s">
        <v>229</v>
      </c>
      <c r="L196" s="15">
        <v>16362.84</v>
      </c>
      <c r="M196" s="7" t="s">
        <v>20</v>
      </c>
      <c r="N196" s="7" t="s">
        <v>18</v>
      </c>
      <c r="O196" s="9" t="s">
        <v>231</v>
      </c>
    </row>
    <row r="197" spans="1:15" x14ac:dyDescent="0.3">
      <c r="A197" s="10" t="s">
        <v>218</v>
      </c>
      <c r="B197" s="11" t="s">
        <v>24</v>
      </c>
      <c r="C197" s="12">
        <v>26044</v>
      </c>
      <c r="D197" s="7">
        <f t="shared" ca="1" si="7"/>
        <v>55</v>
      </c>
      <c r="E197" s="12">
        <v>46055</v>
      </c>
      <c r="F197" s="12">
        <v>46074</v>
      </c>
      <c r="G197" s="18">
        <f t="shared" si="8"/>
        <v>19</v>
      </c>
      <c r="H197" s="11" t="s">
        <v>234</v>
      </c>
      <c r="I197" s="11" t="s">
        <v>238</v>
      </c>
      <c r="J197" s="11" t="s">
        <v>13</v>
      </c>
      <c r="K197" s="11" t="s">
        <v>237</v>
      </c>
      <c r="L197" s="16">
        <v>18069.560000000001</v>
      </c>
      <c r="M197" s="11" t="s">
        <v>14</v>
      </c>
      <c r="N197" s="11" t="s">
        <v>230</v>
      </c>
      <c r="O197" s="13" t="s">
        <v>21</v>
      </c>
    </row>
    <row r="198" spans="1:15" x14ac:dyDescent="0.3">
      <c r="A198" s="6" t="s">
        <v>219</v>
      </c>
      <c r="B198" s="7" t="s">
        <v>24</v>
      </c>
      <c r="C198" s="8">
        <v>34437</v>
      </c>
      <c r="D198" s="7">
        <f t="shared" ca="1" si="7"/>
        <v>32</v>
      </c>
      <c r="E198" s="8">
        <v>45995</v>
      </c>
      <c r="F198" s="8">
        <v>46002</v>
      </c>
      <c r="G198" s="18">
        <f t="shared" si="8"/>
        <v>7</v>
      </c>
      <c r="H198" s="7" t="s">
        <v>30</v>
      </c>
      <c r="I198" s="7" t="s">
        <v>27</v>
      </c>
      <c r="J198" s="7" t="s">
        <v>236</v>
      </c>
      <c r="K198" s="7" t="s">
        <v>239</v>
      </c>
      <c r="L198" s="15">
        <v>16565</v>
      </c>
      <c r="M198" s="7" t="s">
        <v>20</v>
      </c>
      <c r="N198" s="7" t="s">
        <v>18</v>
      </c>
      <c r="O198" s="9" t="s">
        <v>21</v>
      </c>
    </row>
    <row r="199" spans="1:15" x14ac:dyDescent="0.3">
      <c r="A199" s="10" t="s">
        <v>220</v>
      </c>
      <c r="B199" s="11" t="s">
        <v>24</v>
      </c>
      <c r="C199" s="12">
        <v>38250</v>
      </c>
      <c r="D199" s="7">
        <f t="shared" ca="1" si="7"/>
        <v>22</v>
      </c>
      <c r="E199" s="12">
        <v>45643</v>
      </c>
      <c r="F199" s="12">
        <v>45649</v>
      </c>
      <c r="G199" s="18">
        <f t="shared" si="8"/>
        <v>6</v>
      </c>
      <c r="H199" s="11" t="s">
        <v>234</v>
      </c>
      <c r="I199" s="11" t="s">
        <v>228</v>
      </c>
      <c r="J199" s="11" t="s">
        <v>236</v>
      </c>
      <c r="K199" s="11" t="s">
        <v>237</v>
      </c>
      <c r="L199" s="16">
        <v>11898.91</v>
      </c>
      <c r="M199" s="11" t="s">
        <v>20</v>
      </c>
      <c r="N199" s="11" t="s">
        <v>18</v>
      </c>
      <c r="O199" s="13" t="s">
        <v>231</v>
      </c>
    </row>
    <row r="200" spans="1:15" x14ac:dyDescent="0.3">
      <c r="A200" s="6" t="s">
        <v>221</v>
      </c>
      <c r="B200" s="7" t="s">
        <v>24</v>
      </c>
      <c r="C200" s="8">
        <v>38027</v>
      </c>
      <c r="D200" s="7">
        <f t="shared" ca="1" si="7"/>
        <v>23</v>
      </c>
      <c r="E200" s="8">
        <v>45907</v>
      </c>
      <c r="F200" s="8">
        <v>45909</v>
      </c>
      <c r="G200" s="18">
        <f t="shared" si="8"/>
        <v>2</v>
      </c>
      <c r="H200" s="7" t="s">
        <v>235</v>
      </c>
      <c r="I200" s="7" t="s">
        <v>34</v>
      </c>
      <c r="J200" s="7" t="s">
        <v>13</v>
      </c>
      <c r="K200" s="7" t="s">
        <v>239</v>
      </c>
      <c r="L200" s="15">
        <v>23673</v>
      </c>
      <c r="M200" s="7" t="s">
        <v>14</v>
      </c>
      <c r="N200" s="7" t="s">
        <v>230</v>
      </c>
      <c r="O200" s="9" t="s">
        <v>231</v>
      </c>
    </row>
    <row r="201" spans="1:15" x14ac:dyDescent="0.3">
      <c r="A201" s="10" t="s">
        <v>222</v>
      </c>
      <c r="B201" s="11" t="s">
        <v>11</v>
      </c>
      <c r="C201" s="12">
        <v>35638</v>
      </c>
      <c r="D201" s="7">
        <f t="shared" ca="1" si="7"/>
        <v>29</v>
      </c>
      <c r="E201" s="12">
        <v>45910</v>
      </c>
      <c r="F201" s="12">
        <v>45916</v>
      </c>
      <c r="G201" s="18">
        <f t="shared" si="8"/>
        <v>6</v>
      </c>
      <c r="H201" s="11" t="s">
        <v>234</v>
      </c>
      <c r="I201" s="11" t="s">
        <v>238</v>
      </c>
      <c r="J201" s="11" t="s">
        <v>13</v>
      </c>
      <c r="K201" s="11" t="s">
        <v>229</v>
      </c>
      <c r="L201" s="16">
        <v>37399.949999999997</v>
      </c>
      <c r="M201" s="11" t="s">
        <v>20</v>
      </c>
      <c r="N201" s="11" t="s">
        <v>18</v>
      </c>
      <c r="O201" s="13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AB-24AB-4DAD-9676-5AA57223AC88}">
  <dimension ref="B1:M33"/>
  <sheetViews>
    <sheetView tabSelected="1" zoomScale="62" zoomScaleNormal="82" workbookViewId="0">
      <selection activeCell="P46" sqref="P46"/>
    </sheetView>
  </sheetViews>
  <sheetFormatPr baseColWidth="10" defaultRowHeight="14.4" x14ac:dyDescent="0.3"/>
  <cols>
    <col min="2" max="2" width="23.44140625" bestFit="1" customWidth="1"/>
    <col min="3" max="3" width="32.88671875" bestFit="1" customWidth="1"/>
    <col min="4" max="9" width="10.33203125" bestFit="1" customWidth="1"/>
    <col min="10" max="10" width="11.44140625" bestFit="1" customWidth="1"/>
    <col min="11" max="11" width="17.21875" bestFit="1" customWidth="1"/>
    <col min="12" max="12" width="23.44140625" bestFit="1" customWidth="1"/>
    <col min="13" max="13" width="29.5546875" bestFit="1" customWidth="1"/>
    <col min="14" max="14" width="11.88671875" bestFit="1" customWidth="1"/>
    <col min="15" max="19" width="10.33203125" bestFit="1" customWidth="1"/>
    <col min="20" max="20" width="12.88671875" bestFit="1" customWidth="1"/>
    <col min="21" max="21" width="10.33203125" bestFit="1" customWidth="1"/>
    <col min="22" max="23" width="12.88671875" bestFit="1" customWidth="1"/>
    <col min="24" max="26" width="10" bestFit="1" customWidth="1"/>
    <col min="27" max="27" width="11.44140625" bestFit="1" customWidth="1"/>
    <col min="28" max="30" width="10" bestFit="1" customWidth="1"/>
    <col min="31" max="31" width="11.44140625" bestFit="1" customWidth="1"/>
    <col min="32" max="32" width="9" bestFit="1" customWidth="1"/>
    <col min="33" max="33" width="10" bestFit="1" customWidth="1"/>
    <col min="34" max="34" width="9" bestFit="1" customWidth="1"/>
    <col min="35" max="35" width="11.44140625" bestFit="1" customWidth="1"/>
    <col min="36" max="36" width="11" bestFit="1" customWidth="1"/>
    <col min="37" max="39" width="10" bestFit="1" customWidth="1"/>
    <col min="40" max="40" width="11.44140625" bestFit="1" customWidth="1"/>
    <col min="41" max="41" width="10" bestFit="1" customWidth="1"/>
    <col min="42" max="42" width="12.5546875" bestFit="1" customWidth="1"/>
    <col min="43" max="46" width="10.6640625" bestFit="1" customWidth="1"/>
    <col min="47" max="47" width="9.6640625" bestFit="1" customWidth="1"/>
    <col min="48" max="58" width="10.6640625" bestFit="1" customWidth="1"/>
    <col min="59" max="60" width="9.6640625" bestFit="1" customWidth="1"/>
    <col min="61" max="65" width="10.6640625" bestFit="1" customWidth="1"/>
    <col min="66" max="67" width="9.6640625" bestFit="1" customWidth="1"/>
    <col min="68" max="72" width="10.6640625" bestFit="1" customWidth="1"/>
    <col min="73" max="74" width="9.6640625" bestFit="1" customWidth="1"/>
    <col min="75" max="81" width="10.6640625" bestFit="1" customWidth="1"/>
    <col min="82" max="82" width="9.6640625" bestFit="1" customWidth="1"/>
    <col min="83" max="86" width="10.6640625" bestFit="1" customWidth="1"/>
    <col min="87" max="88" width="9.6640625" bestFit="1" customWidth="1"/>
    <col min="89" max="95" width="10.6640625" bestFit="1" customWidth="1"/>
    <col min="96" max="96" width="9.6640625" bestFit="1" customWidth="1"/>
    <col min="97" max="109" width="10.6640625" bestFit="1" customWidth="1"/>
    <col min="110" max="112" width="9.6640625" bestFit="1" customWidth="1"/>
    <col min="113" max="127" width="10.6640625" bestFit="1" customWidth="1"/>
    <col min="128" max="129" width="9.6640625" bestFit="1" customWidth="1"/>
    <col min="130" max="134" width="10.6640625" bestFit="1" customWidth="1"/>
    <col min="135" max="136" width="9.6640625" bestFit="1" customWidth="1"/>
    <col min="137" max="148" width="10.6640625" bestFit="1" customWidth="1"/>
    <col min="149" max="149" width="9.6640625" bestFit="1" customWidth="1"/>
    <col min="150" max="154" width="10.6640625" bestFit="1" customWidth="1"/>
    <col min="155" max="157" width="9.6640625" bestFit="1" customWidth="1"/>
    <col min="158" max="160" width="10.6640625" bestFit="1" customWidth="1"/>
    <col min="161" max="162" width="9.6640625" bestFit="1" customWidth="1"/>
    <col min="163" max="166" width="10.6640625" bestFit="1" customWidth="1"/>
    <col min="167" max="169" width="9.6640625" bestFit="1" customWidth="1"/>
    <col min="170" max="174" width="10.6640625" bestFit="1" customWidth="1"/>
    <col min="175" max="177" width="9.6640625" bestFit="1" customWidth="1"/>
    <col min="178" max="180" width="10.6640625" bestFit="1" customWidth="1"/>
    <col min="181" max="181" width="12.5546875" bestFit="1" customWidth="1"/>
    <col min="182" max="201" width="22.44140625" bestFit="1" customWidth="1"/>
    <col min="202" max="202" width="12.5546875" bestFit="1" customWidth="1"/>
  </cols>
  <sheetData>
    <row r="1" spans="2:13" x14ac:dyDescent="0.3">
      <c r="B1" s="20" t="s">
        <v>226</v>
      </c>
      <c r="C1" t="s">
        <v>237</v>
      </c>
    </row>
    <row r="3" spans="2:13" x14ac:dyDescent="0.3">
      <c r="B3" t="s">
        <v>241</v>
      </c>
      <c r="L3" s="20" t="s">
        <v>242</v>
      </c>
      <c r="M3" t="s">
        <v>245</v>
      </c>
    </row>
    <row r="4" spans="2:13" x14ac:dyDescent="0.3">
      <c r="B4" s="22"/>
      <c r="L4" s="21" t="s">
        <v>228</v>
      </c>
      <c r="M4" s="22">
        <v>42</v>
      </c>
    </row>
    <row r="5" spans="2:13" x14ac:dyDescent="0.3">
      <c r="L5" s="21" t="s">
        <v>27</v>
      </c>
      <c r="M5" s="22">
        <v>40</v>
      </c>
    </row>
    <row r="6" spans="2:13" x14ac:dyDescent="0.3">
      <c r="L6" s="21" t="s">
        <v>238</v>
      </c>
      <c r="M6" s="22">
        <v>44</v>
      </c>
    </row>
    <row r="7" spans="2:13" x14ac:dyDescent="0.3">
      <c r="L7" s="21" t="s">
        <v>34</v>
      </c>
      <c r="M7" s="22">
        <v>42</v>
      </c>
    </row>
    <row r="8" spans="2:13" x14ac:dyDescent="0.3">
      <c r="L8" s="21" t="s">
        <v>233</v>
      </c>
      <c r="M8" s="22">
        <v>32</v>
      </c>
    </row>
    <row r="9" spans="2:13" x14ac:dyDescent="0.3">
      <c r="L9" s="21" t="s">
        <v>243</v>
      </c>
      <c r="M9" s="22">
        <v>200</v>
      </c>
    </row>
    <row r="29" spans="2:12" x14ac:dyDescent="0.3">
      <c r="K29" s="20" t="s">
        <v>242</v>
      </c>
      <c r="L29" t="s">
        <v>244</v>
      </c>
    </row>
    <row r="30" spans="2:12" x14ac:dyDescent="0.3">
      <c r="K30" s="21" t="s">
        <v>231</v>
      </c>
      <c r="L30" s="22">
        <v>101</v>
      </c>
    </row>
    <row r="31" spans="2:12" x14ac:dyDescent="0.3">
      <c r="B31" s="20" t="s">
        <v>242</v>
      </c>
      <c r="C31" t="s">
        <v>241</v>
      </c>
      <c r="K31" s="21" t="s">
        <v>21</v>
      </c>
      <c r="L31" s="22">
        <v>99</v>
      </c>
    </row>
    <row r="32" spans="2:12" x14ac:dyDescent="0.3">
      <c r="B32" s="21" t="s">
        <v>18</v>
      </c>
      <c r="C32" s="22">
        <v>1700672.0299999996</v>
      </c>
      <c r="K32" s="21" t="s">
        <v>243</v>
      </c>
      <c r="L32" s="22">
        <v>200</v>
      </c>
    </row>
    <row r="33" spans="2:3" x14ac:dyDescent="0.3">
      <c r="B33" s="21" t="s">
        <v>243</v>
      </c>
      <c r="C33" s="22">
        <v>1700672.0299999996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066066-fa5a-48b5-a152-92613f4a9d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43FD55680FA48AAB1599AB6FCE394" ma:contentTypeVersion="18" ma:contentTypeDescription="Create a new document." ma:contentTypeScope="" ma:versionID="da220e4293ab86284bb9d294e8f9364e">
  <xsd:schema xmlns:xsd="http://www.w3.org/2001/XMLSchema" xmlns:xs="http://www.w3.org/2001/XMLSchema" xmlns:p="http://schemas.microsoft.com/office/2006/metadata/properties" xmlns:ns3="2d066066-fa5a-48b5-a152-92613f4a9dff" xmlns:ns4="e4aa906f-7a73-45b7-a377-c8a6a737a7c8" targetNamespace="http://schemas.microsoft.com/office/2006/metadata/properties" ma:root="true" ma:fieldsID="6136e60a984f40fca300a07efa62ff2a" ns3:_="" ns4:_="">
    <xsd:import namespace="2d066066-fa5a-48b5-a152-92613f4a9dff"/>
    <xsd:import namespace="e4aa906f-7a73-45b7-a377-c8a6a737a7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66066-fa5a-48b5-a152-92613f4a9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aa906f-7a73-45b7-a377-c8a6a737a7c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96DFDEB-E568-4695-8EF0-C65D32AA5CAF}">
  <ds:schemaRefs>
    <ds:schemaRef ds:uri="http://schemas.openxmlformats.org/package/2006/metadata/core-properties"/>
    <ds:schemaRef ds:uri="http://www.w3.org/XML/1998/namespace"/>
    <ds:schemaRef ds:uri="http://purl.org/dc/terms/"/>
    <ds:schemaRef ds:uri="e4aa906f-7a73-45b7-a377-c8a6a737a7c8"/>
    <ds:schemaRef ds:uri="http://schemas.microsoft.com/office/2006/metadata/properties"/>
    <ds:schemaRef ds:uri="2d066066-fa5a-48b5-a152-92613f4a9dff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CFDB87-DFFB-4957-8F4A-ACC29998CD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40445-D469-485A-BEDA-E124D65D4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66066-fa5a-48b5-a152-92613f4a9dff"/>
    <ds:schemaRef ds:uri="e4aa906f-7a73-45b7-a377-c8a6a737a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27790C-2C50-424E-B9DE-184A59530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Pacientes_clinica_aprendiz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Otoniel Sierra Silva</dc:creator>
  <cp:lastModifiedBy>Emanuel González</cp:lastModifiedBy>
  <dcterms:created xsi:type="dcterms:W3CDTF">2026-04-23T00:12:20Z</dcterms:created>
  <dcterms:modified xsi:type="dcterms:W3CDTF">2026-09-14T20:22:32Z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0x0101003B143FD55680FA48AAB1599AB6FCE394</vt:lpwstr>
  </property>
</Properties>
</file>